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abellenblatt1" sheetId="1" state="visible" r:id="rId1"/>
  </sheets>
  <definedNames/>
  <calcPr calcId="124519" fullCalcOnLoad="1"/>
</workbook>
</file>

<file path=xl/styles.xml><?xml version="1.0" encoding="utf-8"?>
<styleSheet xmlns="http://schemas.openxmlformats.org/spreadsheetml/2006/main">
  <numFmts count="1">
    <numFmt numFmtId="164" formatCode="#,##0.00&quot;€&quot;"/>
  </numFmts>
  <fonts count="11">
    <font>
      <name val="Arial"/>
      <color rgb="FF000000"/>
      <sz val="10"/>
      <scheme val="minor"/>
    </font>
    <font>
      <color rgb="FF0000FF"/>
      <sz val="11"/>
      <u val="single"/>
    </font>
    <font>
      <name val="Arial"/>
      <color theme="1"/>
      <sz val="11"/>
      <scheme val="minor"/>
    </font>
    <font>
      <name val="Arial"/>
      <color theme="1"/>
    </font>
    <font>
      <name val="Arial"/>
      <color rgb="FF000000"/>
    </font>
    <font>
      <name val="Arial"/>
    </font>
    <font>
      <name val="Arial"/>
      <color theme="1"/>
      <sz val="8"/>
    </font>
    <font>
      <name val="Liberation Sans"/>
      <color theme="1"/>
      <sz val="8"/>
    </font>
    <font>
      <name val="Liberation Sans"/>
      <sz val="8"/>
    </font>
    <font>
      <name val="Arial"/>
      <color rgb="FF000000"/>
      <sz val="8"/>
    </font>
    <font>
      <name val="Arial"/>
      <color theme="1"/>
      <scheme val="minor"/>
    </font>
  </fonts>
  <fills count="3">
    <fill>
      <patternFill/>
    </fill>
    <fill>
      <patternFill patternType="lightGray"/>
    </fill>
    <fill>
      <patternFill patternType="solid">
        <fgColor rgb="FFD9D9D9"/>
        <bgColor rgb="FFD9D9D9"/>
      </patternFill>
    </fill>
  </fills>
  <borders count="1">
    <border/>
  </borders>
  <cellStyleXfs count="1">
    <xf numFmtId="0" fontId="0" fillId="0" borderId="0"/>
  </cellStyleXfs>
  <cellXfs count="19">
    <xf numFmtId="0" fontId="0" fillId="0" borderId="0" applyAlignment="1" pivotButton="0" quotePrefix="0" xfId="0">
      <alignment vertical="bottom"/>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0" borderId="0" applyAlignment="1" pivotButton="0" quotePrefix="0" xfId="0">
      <alignment horizontal="right" vertical="bottom"/>
    </xf>
    <xf numFmtId="0" fontId="3" fillId="0" borderId="0" applyAlignment="1" pivotButton="0" quotePrefix="0" xfId="0">
      <alignment vertical="bottom"/>
    </xf>
    <xf numFmtId="0" fontId="4" fillId="0" borderId="0" applyAlignment="1" pivotButton="0" quotePrefix="0" xfId="0">
      <alignment vertical="bottom"/>
    </xf>
    <xf numFmtId="0" fontId="3" fillId="0" borderId="0" applyAlignment="1" pivotButton="0" quotePrefix="0" xfId="0">
      <alignment vertical="bottom"/>
    </xf>
    <xf numFmtId="164" fontId="3" fillId="0" borderId="0" applyAlignment="1" pivotButton="0" quotePrefix="0" xfId="0">
      <alignment horizontal="right" vertical="bottom"/>
    </xf>
    <xf numFmtId="0" fontId="5"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6" fillId="0" borderId="0" applyAlignment="1" pivotButton="0" quotePrefix="0" xfId="0">
      <alignment vertical="bottom"/>
    </xf>
    <xf numFmtId="0" fontId="9" fillId="0" borderId="0" applyAlignment="1" pivotButton="0" quotePrefix="0" xfId="0">
      <alignment vertical="bottom"/>
    </xf>
    <xf numFmtId="0" fontId="4" fillId="0" borderId="0" applyAlignment="1" pivotButton="0" quotePrefix="0" xfId="0">
      <alignment vertical="bottom"/>
    </xf>
    <xf numFmtId="0" fontId="10"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fellkost.de/content/partners/466587/shop/shop/article/284379/hunde-schnupperpaket_200g_1_set_mit_verschiedenen_sorten_flocken_testpackungen_" TargetMode="External" Id="rId1"/><Relationship Type="http://schemas.openxmlformats.org/officeDocument/2006/relationships/hyperlink" Target="https://www.fellkost.de/content/partners/466587/shop/shop/article/284458/hunde-schnupperpaket_400g_1_set_mit_verschiedenen_sorten_flocken_testpackungen_" TargetMode="External" Id="rId2"/><Relationship Type="http://schemas.openxmlformats.org/officeDocument/2006/relationships/hyperlink" Target="https://www.fellkost.de/content/partners/466587/shop/shop/article/284537/hunde-schnupperpaket_810g_1_set_mit_verschiedenen_sorten_flocken_testpackungen_" TargetMode="External" Id="rId3"/><Relationship Type="http://schemas.openxmlformats.org/officeDocument/2006/relationships/hyperlink" Target="https://www.fellkost.de/content/partners/466587/shop/shop/article/165730/futterumstellungs-paket_200g_1_produktmix_zum_futterwechsel_?category=62183" TargetMode="External" Id="rId4"/><Relationship Type="http://schemas.openxmlformats.org/officeDocument/2006/relationships/hyperlink" Target="https://www.fellkost.de/content/partners/466587/shop/shop/article/165810/futterumstellungs-paket_400g_1_produktmix_zum_futterwechsel_" TargetMode="External" Id="rId5"/><Relationship Type="http://schemas.openxmlformats.org/officeDocument/2006/relationships/hyperlink" Target="https://www.fellkost.de/content/partners/466587/shop/shop/article/165927/futterumstellungs-paket_810g_1_produktmix_zum_futterwechsel_" TargetMode="External" Id="rId6"/><Relationship Type="http://schemas.openxmlformats.org/officeDocument/2006/relationships/hyperlink" Target="https://www.fellkost.de/content/partners/466587/shop/shop/article/404720/bio_moby_dick_200g_6_stueck_?category=62183" TargetMode="External" Id="rId7"/><Relationship Type="http://schemas.openxmlformats.org/officeDocument/2006/relationships/hyperlink" Target="https://www.fellkost.de/content/partners/466587/shop/shop/article/404802/bio_moby_dick_400g_6_stueck_" TargetMode="External" Id="rId8"/><Relationship Type="http://schemas.openxmlformats.org/officeDocument/2006/relationships/hyperlink" Target="https://www.fellkost.de/content/partners/466587/shop/shop/article/404884/bio_moby_dick_800g_6_stueck_" TargetMode="External" Id="rId9"/><Relationship Type="http://schemas.openxmlformats.org/officeDocument/2006/relationships/hyperlink" Target="https://www.fellkost.de/content/partners/466587/shop/shop/article/328285/junior_200g_6_stueck_?category=62183" TargetMode="External" Id="rId10"/><Relationship Type="http://schemas.openxmlformats.org/officeDocument/2006/relationships/hyperlink" Target="https://www.fellkost.de/content/partners/466587/shop/shop/article/308559/junior_400g_6_stueck_" TargetMode="External" Id="rId11"/><Relationship Type="http://schemas.openxmlformats.org/officeDocument/2006/relationships/hyperlink" Target="https://www.fellkost.de/content/partners/466587/shop/shop/article/307723/junior_810g_6_stueck_" TargetMode="External" Id="rId12"/><Relationship Type="http://schemas.openxmlformats.org/officeDocument/2006/relationships/hyperlink" Target="https://www.fellkost.de/content/partners/466587/shop/shop/article/11233/witwe_boltes_schrecken_200g_6_stueck_?category=62183" TargetMode="External" Id="rId13"/><Relationship Type="http://schemas.openxmlformats.org/officeDocument/2006/relationships/hyperlink" Target="https://www.fellkost.de/content/partners/466587/shop/shop/article/11234/witwe_boltes_schrecken_400g_6_stueck_" TargetMode="External" Id="rId14"/><Relationship Type="http://schemas.openxmlformats.org/officeDocument/2006/relationships/hyperlink" Target="https://www.fellkost.de/content/partners/466587/shop/shop/article/11235/witwe_boltes_schrecken_810g_6_stueck_" TargetMode="External" Id="rId15"/><Relationship Type="http://schemas.openxmlformats.org/officeDocument/2006/relationships/hyperlink" Target="https://www.fellkost.de/content/partners/466587/shop/shop/article/11237/zum_goldenen_ochsen_200g_6_stueck_?category=62183" TargetMode="External" Id="rId16"/><Relationship Type="http://schemas.openxmlformats.org/officeDocument/2006/relationships/hyperlink" Target="https://www.fellkost.de/content/partners/466587/shop/shop/article/11238/zum_goldenen_ochsen_400g_6_stueck_" TargetMode="External" Id="rId17"/><Relationship Type="http://schemas.openxmlformats.org/officeDocument/2006/relationships/hyperlink" Target="https://www.fellkost.de/content/partners/466587/shop/shop/article/11240/zum_goldenen_ochsen_810g_6_stueck_" TargetMode="External" Id="rId18"/><Relationship Type="http://schemas.openxmlformats.org/officeDocument/2006/relationships/hyperlink" Target="https://www.fellkost.de/content/partners/466587/shop/shop/article/404720/surfers_superfood_370g_2_stueck_?category=62183" TargetMode="External" Id="rId19"/><Relationship Type="http://schemas.openxmlformats.org/officeDocument/2006/relationships/hyperlink" Target="https://www.fellkost.de/content/partners/466587/shop/shop/article/409236/polo_powerkick_370g_2_stueck_?category=62183" TargetMode="External" Id="rId20"/><Relationship Type="http://schemas.openxmlformats.org/officeDocument/2006/relationships/hyperlink" Target="https://www.fellkost.de/content/partners/466587/shop/shop/article/11243/falscher_hase_200g_6_stueck_?category=62183" TargetMode="External" Id="rId21"/><Relationship Type="http://schemas.openxmlformats.org/officeDocument/2006/relationships/hyperlink" Target="https://www.fellkost.de/content/partners/466587/shop/shop/article/11244/falscher_hase_400g_6_stueck_" TargetMode="External" Id="rId22"/><Relationship Type="http://schemas.openxmlformats.org/officeDocument/2006/relationships/hyperlink" Target="https://www.fellkost.de/content/partners/466587/shop/shop/article/11247/falscher_hase_810g_6_stueck_" TargetMode="External" Id="rId23"/><Relationship Type="http://schemas.openxmlformats.org/officeDocument/2006/relationships/hyperlink" Target="https://www.fellkost.de/content/partners/466587/shop/shop/article/11249/thanksgiving_day_200g_6_stueck_?category=62183" TargetMode="External" Id="rId24"/><Relationship Type="http://schemas.openxmlformats.org/officeDocument/2006/relationships/hyperlink" Target="https://www.fellkost.de/content/partners/466587/shop/shop/article/11251/thanksgiving_day_400g_6_stueck_" TargetMode="External" Id="rId25"/><Relationship Type="http://schemas.openxmlformats.org/officeDocument/2006/relationships/hyperlink" Target="https://www.fellkost.de/content/partners/466587/shop/shop/article/11253/thanksgiving_day_810g_6_stueck_" TargetMode="External" Id="rId26"/><Relationship Type="http://schemas.openxmlformats.org/officeDocument/2006/relationships/hyperlink" Target="https://www.fellkost.de/content/partners/466587/shop/shop/article/37786/gockels_duett_200g_6_stueck_?category=62183" TargetMode="External" Id="rId27"/><Relationship Type="http://schemas.openxmlformats.org/officeDocument/2006/relationships/hyperlink" Target="https://www.fellkost.de/content/partners/466587/shop/shop/article/11258/gockels_duett_400g_6_stueck_" TargetMode="External" Id="rId28"/><Relationship Type="http://schemas.openxmlformats.org/officeDocument/2006/relationships/hyperlink" Target="https://www.fellkost.de/content/partners/466587/shop/shop/article/11257/gockels_duett_810g_6_stueck_" TargetMode="External" Id="rId29"/><Relationship Type="http://schemas.openxmlformats.org/officeDocument/2006/relationships/hyperlink" Target="https://www.fellkost.de/content/partners/466587/shop/shop/article/11227/schaefers_pfanne_200g_6_stueck_?category=62183" TargetMode="External" Id="rId30"/><Relationship Type="http://schemas.openxmlformats.org/officeDocument/2006/relationships/hyperlink" Target="https://www.fellkost.de/content/partners/466587/shop/shop/article/11228/schaefers_pfanne_400g_6_stueck_" TargetMode="External" Id="rId31"/><Relationship Type="http://schemas.openxmlformats.org/officeDocument/2006/relationships/hyperlink" Target="https://www.fellkost.de/content/partners/466587/shop/shop/article/11229/schaefers_pfanne_810g_6_stueck_" TargetMode="External" Id="rId32"/><Relationship Type="http://schemas.openxmlformats.org/officeDocument/2006/relationships/hyperlink" Target="https://www.fellkost.de/content/partners/466587/shop/shop/article/85971/rydog_vitalmenue_huhn_200g_6_stueck_?category=62183" TargetMode="External" Id="rId33"/><Relationship Type="http://schemas.openxmlformats.org/officeDocument/2006/relationships/hyperlink" Target="https://www.fellkost.de/content/partners/466587/shop/shop/article/85975/rydog_vitalmenue_huhn_400g_6_stueck_" TargetMode="External" Id="rId34"/><Relationship Type="http://schemas.openxmlformats.org/officeDocument/2006/relationships/hyperlink" Target="https://www.fellkost.de/content/partners/466587/shop/shop/article/85977/rydog_vitalmenue_huhn_800g_6_stueck_" TargetMode="External" Id="rId35"/><Relationship Type="http://schemas.openxmlformats.org/officeDocument/2006/relationships/hyperlink" Target="https://www.fellkost.de/content/partners/466587/shop/shop/article/86012/rydog_vitalmenue_lamm_200g_6_stueck_" TargetMode="External" Id="rId36"/><Relationship Type="http://schemas.openxmlformats.org/officeDocument/2006/relationships/hyperlink" Target="https://www.fellkost.de/content/partners/466587/shop/shop/article/86014/rydog_vitalmenue_lamm_400g_6_stueck_" TargetMode="External" Id="rId37"/><Relationship Type="http://schemas.openxmlformats.org/officeDocument/2006/relationships/hyperlink" Target="https://www.fellkost.de/content/partners/466587/shop/shop/article/86017/rydog_vitalmenue_lamm_800g_6_stueck_" TargetMode="External" Id="rId38"/><Relationship Type="http://schemas.openxmlformats.org/officeDocument/2006/relationships/hyperlink" Target="https://www.fellkost.de/content/partners/466587/shop/shop/article/86019/rydog_ziege_pferd_200g_6_stueck_" TargetMode="External" Id="rId39"/><Relationship Type="http://schemas.openxmlformats.org/officeDocument/2006/relationships/hyperlink" Target="https://www.fellkost.de/content/partners/466587/shop/shop/article/86022/rydog_ziege_pferd_400g_6_stueck_" TargetMode="External" Id="rId40"/><Relationship Type="http://schemas.openxmlformats.org/officeDocument/2006/relationships/hyperlink" Target="https://www.fellkost.de/content/partners/466587/shop/shop/article/86024/rydog_ziege_pferd_800g_6_stueck_" TargetMode="External" Id="rId41"/><Relationship Type="http://schemas.openxmlformats.org/officeDocument/2006/relationships/hyperlink" Target="https://www.fellkost.de/content/partners/466587/shop/shop/article/40681/rydog_vitalmenue_bio-rind_200g_6_stueck_" TargetMode="External" Id="rId42"/><Relationship Type="http://schemas.openxmlformats.org/officeDocument/2006/relationships/hyperlink" Target="https://www.fellkost.de/content/partners/466587/shop/shop/article/40683/rydog_vitalmenue_bio-rind_400g_6_stueck_" TargetMode="External" Id="rId43"/><Relationship Type="http://schemas.openxmlformats.org/officeDocument/2006/relationships/hyperlink" Target="https://www.fellkost.de/content/partners/466587/shop/shop/article/39714/rydog_vitalmenue_bio-rind_800g_6_stueck_" TargetMode="External" Id="rId44"/><Relationship Type="http://schemas.openxmlformats.org/officeDocument/2006/relationships/hyperlink" Target="https://www.fellkost.de/content/partners/466587/shop/shop/article/40705/gourmetwurst_pferd_400g_1_stueck_" TargetMode="External" Id="rId45"/><Relationship Type="http://schemas.openxmlformats.org/officeDocument/2006/relationships/hyperlink" Target="https://www.fellkost.de/content/partners/466587/shop/shop/article/40707/gourmetwurst_wild_400g_1_stueck_" TargetMode="External" Id="rId46"/><Relationship Type="http://schemas.openxmlformats.org/officeDocument/2006/relationships/hyperlink" Target="https://www.fellkost.de/content/partners/466587/shop/shop/article/121245/notration_schaefers_pfanne_150g_1_stueck_" TargetMode="External" Id="rId47"/><Relationship Type="http://schemas.openxmlformats.org/officeDocument/2006/relationships/hyperlink" Target="https://www.fellkost.de/content/partners/466587/shop/shop/article/59353/schonkost_huhn_reis_50g_1_stueck_" TargetMode="External" Id="rId48"/><Relationship Type="http://schemas.openxmlformats.org/officeDocument/2006/relationships/hyperlink" Target="https://www.fellkost.de/content/partners/466587/shop/shop/article/59355/schonkost_huhn_reis_150g_1_stueck_" TargetMode="External" Id="rId49"/><Relationship Type="http://schemas.openxmlformats.org/officeDocument/2006/relationships/hyperlink" Target="https://www.fellkost.de/content/partners/466587/shop/shop/article/59066/schonkost_huettenkaese_hund_100g_1_stueck_" TargetMode="External" Id="rId50"/><Relationship Type="http://schemas.openxmlformats.org/officeDocument/2006/relationships/hyperlink" Target="https://www.fellkost.de/content/partners/466587/shop/shop/article/79338/anifit-vet_niereninsuffizienz_200g_1_stueck_" TargetMode="External" Id="rId51"/><Relationship Type="http://schemas.openxmlformats.org/officeDocument/2006/relationships/hyperlink" Target="https://www.fellkost.de/content/partners/466587/shop/shop/article/49101/kartoffelflocke_800g_1_stueck_?category=62192" TargetMode="External" Id="rId52"/><Relationship Type="http://schemas.openxmlformats.org/officeDocument/2006/relationships/hyperlink" Target="https://www.fellkost.de/content/partners/466587/shop/shop/article/11306/gemuese-mix_650g_1_stueck_?category=62192" TargetMode="External" Id="rId53"/><Relationship Type="http://schemas.openxmlformats.org/officeDocument/2006/relationships/hyperlink" Target="https://www.fellkost.de/content/partners/466587/shop/shop/article/11305/gemuese-mix_12_5_kg_1_stueck_" TargetMode="External" Id="rId54"/><Relationship Type="http://schemas.openxmlformats.org/officeDocument/2006/relationships/hyperlink" Target="https://www.fellkost.de/content/partners/466587/shop/shop/article/60490/karottenflocke_600g_1_stueck_?category=62192" TargetMode="External" Id="rId55"/><Relationship Type="http://schemas.openxmlformats.org/officeDocument/2006/relationships/hyperlink" Target="https://www.fellkost.de/content/partners/466587/shop/shop/article/11313/reis-pops_750g_1_stueck_?category=62192" TargetMode="External" Id="rId56"/><Relationship Type="http://schemas.openxmlformats.org/officeDocument/2006/relationships/hyperlink" Target="https://www.fellkost.de/content/partners/466587/shop/shop/article/11314/naturflocke_1_kg_1_stueck_?category=62192" TargetMode="External" Id="rId57"/><Relationship Type="http://schemas.openxmlformats.org/officeDocument/2006/relationships/hyperlink" Target="https://www.fellkost.de/content/partners/466587/shop/shop/article/11316/naturflocke_10_kg_1_stueck_" TargetMode="External" Id="rId58"/><Relationship Type="http://schemas.openxmlformats.org/officeDocument/2006/relationships/hyperlink" Target="https://www.fellkost.de/content/partners/466587/shop/shop/article/49099/apfelflocke_400g_1_stueck_?category=62192" TargetMode="External" Id="rId59"/><Relationship Type="http://schemas.openxmlformats.org/officeDocument/2006/relationships/hyperlink" Target="https://www.fellkost.de/content/partners/466587/shop/shop/article/432039/rydog_fleisch-flocke_hirsch_1_5kg_1_stueck_?category=62192" TargetMode="External" Id="rId60"/><Relationship Type="http://schemas.openxmlformats.org/officeDocument/2006/relationships/hyperlink" Target="https://www.fellkost.de/content/partners/466587/shop/shop/article/405858/rydog_fleisch-flocke_hirsch_5kg_1_stueck_" TargetMode="External" Id="rId61"/><Relationship Type="http://schemas.openxmlformats.org/officeDocument/2006/relationships/hyperlink" Target="https://www.fellkost.de/content/partners/466587/shop/shop/article/405938/rydog_fleisch-flocke_hirsch_10kg_1_stueck_" TargetMode="External" Id="rId62"/><Relationship Type="http://schemas.openxmlformats.org/officeDocument/2006/relationships/hyperlink" Target="https://www.fellkost.de/content/partners/466587/shop/shop/article/432119/rydog_fisch-flocke_1_5kg_1_stueck_?category=62192" TargetMode="External" Id="rId63"/><Relationship Type="http://schemas.openxmlformats.org/officeDocument/2006/relationships/hyperlink" Target="https://www.fellkost.de/content/partners/466587/shop/shop/article/406135/rydog_fisch-flocke_5kg_1_stueck_" TargetMode="External" Id="rId64"/><Relationship Type="http://schemas.openxmlformats.org/officeDocument/2006/relationships/hyperlink" Target="https://www.fellkost.de/content/partners/466587/shop/shop/article/406218/rydog_fisch-flocke_10kg_1_stueck_" TargetMode="External" Id="rId65"/><Relationship Type="http://schemas.openxmlformats.org/officeDocument/2006/relationships/hyperlink" Target="https://www.fellkost.de/content/partners/466587/shop/shop/article/81584/purin-low_200g_1_stueck_?category=62192" TargetMode="External" Id="rId66"/><Relationship Type="http://schemas.openxmlformats.org/officeDocument/2006/relationships/hyperlink" Target="https://www.fellkost.de/content/partners/466587/shop/shop/article/49242/easy_barf_rinderherzen_350g_1_stueck_?category=62269" TargetMode="External" Id="rId67"/><Relationship Type="http://schemas.openxmlformats.org/officeDocument/2006/relationships/hyperlink" Target="https://www.fellkost.de/content/partners/466587/shop/shop/article/68616/easy_barf_lammherz_350g_1_stueck_?category=62269" TargetMode="External" Id="rId68"/><Relationship Type="http://schemas.openxmlformats.org/officeDocument/2006/relationships/hyperlink" Target="https://www.fellkost.de/content/partners/466587/shop/shop/article/111757/easy_barf_putenbrust_300g_1_stueck_?category=62269" TargetMode="External" Id="rId69"/><Relationship Type="http://schemas.openxmlformats.org/officeDocument/2006/relationships/hyperlink" Target="https://www.fellkost.de/content/partners/466587/shop/shop/article/296001/easy_barf_huehnerbrust_350g_1_stueck_?category=62269" TargetMode="External" Id="rId70"/><Relationship Type="http://schemas.openxmlformats.org/officeDocument/2006/relationships/hyperlink" Target="https://www.fellkost.de/content/partners/466587/shop/shop/article/49240/easy_barf_rinderleber_300g_1_stueck_?category=62269" TargetMode="External" Id="rId71"/><Relationship Type="http://schemas.openxmlformats.org/officeDocument/2006/relationships/hyperlink" Target="https://www.fellkost.de/content/partners/466587/shop/shop/article/49244/easy_barf_lammpansen_150g_1_stueck_?category=62269" TargetMode="External" Id="rId72"/><Relationship Type="http://schemas.openxmlformats.org/officeDocument/2006/relationships/hyperlink" Target="https://www.fellkost.de/content/partners/466587/shop/shop/article/49248/easy_barf_rotbarsch_150g_1_stueck_?category=62269" TargetMode="External" Id="rId73"/><Relationship Type="http://schemas.openxmlformats.org/officeDocument/2006/relationships/hyperlink" Target="https://www.fellkost.de/content/partners/466587/shop/shop/article/49246/easy_barf_huehnerherzen_400g_1_stueck_?category=62269" TargetMode="External" Id="rId74"/><Relationship Type="http://schemas.openxmlformats.org/officeDocument/2006/relationships/hyperlink" Target="https://www.fellkost.de/content/partners/466587/shop/shop/article/60268/easy_barf_pferd_400g_1_stueck_?category=62269" TargetMode="External" Id="rId75"/><Relationship Type="http://schemas.openxmlformats.org/officeDocument/2006/relationships/hyperlink" Target="https://www.fellkost.de/content/partners/466587/shop/shop/article/60270/easy_barf_hase_300g_1_stueck_?category=62269" TargetMode="External" Id="rId76"/><Relationship Type="http://schemas.openxmlformats.org/officeDocument/2006/relationships/hyperlink" Target="https://www.fellkost.de/content/partners/466587/shop/shop/article/49213/easy_barf_hirsch_350g_1_stueck_?category=62269" TargetMode="External" Id="rId77"/><Relationship Type="http://schemas.openxmlformats.org/officeDocument/2006/relationships/hyperlink" Target="https://www.fellkost.de/content/partners/466587/shop/shop/article/78052/ryanimal_ziege-pur_400g_6_stueck_?category=62269" TargetMode="External" Id="rId78"/><Relationship Type="http://schemas.openxmlformats.org/officeDocument/2006/relationships/hyperlink" Target="https://www.fellkost.de/content/partners/466587/shop/shop/article/11310/lachsoel_50_ml_1_stueck_?category=62269" TargetMode="External" Id="rId79"/><Relationship Type="http://schemas.openxmlformats.org/officeDocument/2006/relationships/hyperlink" Target="https://www.fellkost.de/content/partners/466587/shop/shop/article/11295/lachsoel_500_ml_1_stueck_" TargetMode="External" Id="rId80"/><Relationship Type="http://schemas.openxmlformats.org/officeDocument/2006/relationships/hyperlink" Target="https://www.fellkost.de/content/partners/466587/shop/shop/article/26746/amovit_hund_100g_1_stueck_" TargetMode="External" Id="rId81"/><Relationship Type="http://schemas.openxmlformats.org/officeDocument/2006/relationships/hyperlink" Target="https://www.fellkost.de/content/partners/466587/shop/shop/article/292287/huehnersuppe_80g_1_stueck_?category=62269" TargetMode="External" Id="rId82"/><Relationship Type="http://schemas.openxmlformats.org/officeDocument/2006/relationships/hyperlink" Target="https://www.fellkost.de/content/partners/466587/shop/shop/article/51808/fleisch-gewuerz_20g_1_stueck_?category=62269" TargetMode="External" Id="rId83"/><Relationship Type="http://schemas.openxmlformats.org/officeDocument/2006/relationships/hyperlink" Target="https://www.fellkost.de/content/partners/466587/shop/shop/article/51810/fisch-gewuerz_20g_1_stueck_?category=62269" TargetMode="External" Id="rId84"/><Relationship Type="http://schemas.openxmlformats.org/officeDocument/2006/relationships/hyperlink" Target="https://www.fellkost.de/content/partners/466587/shop/shop/article/55072/rinderfett_100g_1_packung_?category=62269" TargetMode="External" Id="rId85"/><Relationship Type="http://schemas.openxmlformats.org/officeDocument/2006/relationships/hyperlink" Target="https://www.fellkost.de/content/partners/466587/shop/shop/article/84045/lammfett_200g_1_packung_?category=62269" TargetMode="External" Id="rId86"/><Relationship Type="http://schemas.openxmlformats.org/officeDocument/2006/relationships/hyperlink" Target="https://www.fellkost.de/content/partners/466587/shop/shop/article/36785/pro_taurin_90g_1_stueck_?category=62269" TargetMode="External" Id="rId87"/><Relationship Type="http://schemas.openxmlformats.org/officeDocument/2006/relationships/hyperlink" Target="https://www.fellkost.de/content/partners/466587/shop/shop/article/50753/calcium_250g_1_stueck_?category=62269" TargetMode="External" Id="rId88"/><Relationship Type="http://schemas.openxmlformats.org/officeDocument/2006/relationships/hyperlink" Target="https://www.fellkost.de/content/partners/466587/shop/shop/article/115810/rinder-bratwurst_100g_1_stueck_?category=62193" TargetMode="External" Id="rId89"/><Relationship Type="http://schemas.openxmlformats.org/officeDocument/2006/relationships/hyperlink" Target="https://www.fellkost.de/content/partners/466587/shop/shop/article/11272/huehnerherzen_35g_1_stueck_?category=62193" TargetMode="External" Id="rId90"/><Relationship Type="http://schemas.openxmlformats.org/officeDocument/2006/relationships/hyperlink" Target="https://www.fellkost.de/content/partners/466587/shop/shop/article/316404/happy_birthday_35g_1_stueck_?category=62193" TargetMode="External" Id="rId91"/><Relationship Type="http://schemas.openxmlformats.org/officeDocument/2006/relationships/hyperlink" Target="https://www.fellkost.de/content/partners/466587/shop/shop/article/46473/rinderleber_35g_1_stueck_?category=62193" TargetMode="External" Id="rId92"/><Relationship Type="http://schemas.openxmlformats.org/officeDocument/2006/relationships/hyperlink" Target="https://www.fellkost.de/content/partners/466587/shop/shop/article/46469/aehrenfische_25g_1_stueck_?category=62193" TargetMode="External" Id="rId93"/><Relationship Type="http://schemas.openxmlformats.org/officeDocument/2006/relationships/hyperlink" Target="https://www.fellkost.de/content/partners/466587/shop/shop/article/49209/rinderherzen_35g_1_stueck_?category=62193" TargetMode="External" Id="rId94"/><Relationship Type="http://schemas.openxmlformats.org/officeDocument/2006/relationships/hyperlink" Target="https://www.fellkost.de/content/partners/466587/shop/shop/article/63020/huehnerbrust_35g_1_stueck_?category=62193" TargetMode="External" Id="rId95"/><Relationship Type="http://schemas.openxmlformats.org/officeDocument/2006/relationships/hyperlink" Target="https://www.fellkost.de/content/partners/466587/shop/shop/article/99165/entenbrust_35g_1_stueck_?category=62193" TargetMode="External" Id="rId96"/><Relationship Type="http://schemas.openxmlformats.org/officeDocument/2006/relationships/hyperlink" Target="https://www.fellkost.de/content/partners/466587/shop/shop/article/70897/tricolor-snack_35g_1_stueck_?category=62193" TargetMode="External" Id="rId97"/><Relationship Type="http://schemas.openxmlformats.org/officeDocument/2006/relationships/hyperlink" Target="https://www.fellkost.de/content/partners/466587/shop/shop/article/74960/stay-calm-snack_35g_1_stueck_?category=62193" TargetMode="External" Id="rId98"/><Relationship Type="http://schemas.openxmlformats.org/officeDocument/2006/relationships/hyperlink" Target="https://www.fellkost.de/content/partners/466587/shop/shop/article/46477/bio-lachs_35g_1_stueck_?category=62193" TargetMode="External" Id="rId99"/><Relationship Type="http://schemas.openxmlformats.org/officeDocument/2006/relationships/hyperlink" Target="https://www.fellkost.de/content/partners/466587/shop/shop/article/72269/rotbarsch_35g_1_stueck_?category=62193" TargetMode="External" Id="rId100"/><Relationship Type="http://schemas.openxmlformats.org/officeDocument/2006/relationships/hyperlink" Target="https://www.fellkost.de/content/partners/466587/shop/shop/article/46475/hirsch_35g_1_stueck_?category=62193" TargetMode="External" Id="rId101"/><Relationship Type="http://schemas.openxmlformats.org/officeDocument/2006/relationships/hyperlink" Target="https://www.fellkost.de/content/partners/466587/shop/shop/article/55108/shrimps_15g_1_stueck_?category=62193" TargetMode="External" Id="rId102"/><Relationship Type="http://schemas.openxmlformats.org/officeDocument/2006/relationships/hyperlink" Target="https://www.fellkost.de/content/partners/466587/shop/shop/article/91963/rotbarschfilet_pulver_40g_1_stueck_?category=62193" TargetMode="External" Id="rId103"/><Relationship Type="http://schemas.openxmlformats.org/officeDocument/2006/relationships/hyperlink" Target="https://www.fellkost.de/content/partners/466587/shop/shop/article/275114/huehnerherzen-granulat_50g_1_stueck_?category=62193" TargetMode="External" Id="rId104"/><Relationship Type="http://schemas.openxmlformats.org/officeDocument/2006/relationships/hyperlink" Target="https://www.fellkost.de/content/partners/466587/shop/shop/article/70877/rote-beete-snack_35g_1_stueck_?category=62193" TargetMode="External" Id="rId105"/><Relationship Type="http://schemas.openxmlformats.org/officeDocument/2006/relationships/hyperlink" Target="https://www.fellkost.de/content/partners/466587/shop/shop/article/70893/kurkuma-snack_35g_1_stueck_?category=62193" TargetMode="External" Id="rId106"/><Relationship Type="http://schemas.openxmlformats.org/officeDocument/2006/relationships/hyperlink" Target="https://www.fellkost.de/content/partners/466587/shop/shop/article/70895/chlorella-snack_35g_1_stueck_?category=62193" TargetMode="External" Id="rId107"/><Relationship Type="http://schemas.openxmlformats.org/officeDocument/2006/relationships/hyperlink" Target="https://www.fellkost.de/content/partners/466587/shop/shop/article/49211/lammpansen_20g_1_stueck_?category=62193" TargetMode="External" Id="rId108"/><Relationship Type="http://schemas.openxmlformats.org/officeDocument/2006/relationships/hyperlink" Target="https://www.fellkost.de/content/partners/466587/shop/shop/article/402971/picco_train_gefluegel_500g_1_stueck_?category=62193" TargetMode="External" Id="rId109"/><Relationship Type="http://schemas.openxmlformats.org/officeDocument/2006/relationships/hyperlink" Target="https://www.fellkost.de/content/partners/466587/shop/shop/article/46462/picco_train_fisch_500g_1_stueck_?category=62193" TargetMode="External" Id="rId110"/><Relationship Type="http://schemas.openxmlformats.org/officeDocument/2006/relationships/hyperlink" Target="https://www.fellkost.de/content/partners/466587/shop/shop/article/11273/premium_truthahn_sticks_350g_1_stueck_?category=62193" TargetMode="External" Id="rId111"/><Relationship Type="http://schemas.openxmlformats.org/officeDocument/2006/relationships/hyperlink" Target="https://www.fellkost.de/content/partners/466587/shop/shop/article/81714/hirsch-snack_170g_1_packung_?category=62193" TargetMode="External" Id="rId112"/><Relationship Type="http://schemas.openxmlformats.org/officeDocument/2006/relationships/hyperlink" Target="https://www.fellkost.de/content/partners/466587/shop/shop/article/167347/wels-snack_170g_1_packung_?category=62193" TargetMode="External" Id="rId113"/><Relationship Type="http://schemas.openxmlformats.org/officeDocument/2006/relationships/hyperlink" Target="https://www.fellkost.de/content/partners/466587/shop/shop/article/278605/insekten-snack_100g_1_packung_?category=62193" TargetMode="External" Id="rId114"/><Relationship Type="http://schemas.openxmlformats.org/officeDocument/2006/relationships/hyperlink" Target="https://www.fellkost.de/content/partners/466587/shop/shop/article/25079/pro_kalbsunterbein_ca_500g_1_stueck_?category=62193" TargetMode="External" Id="rId115"/><Relationship Type="http://schemas.openxmlformats.org/officeDocument/2006/relationships/hyperlink" Target="https://www.fellkost.de/content/partners/466587/shop/shop/article/291748/entenhaelse_200g_1_stueck_?category=62193" TargetMode="External" Id="rId116"/><Relationship Type="http://schemas.openxmlformats.org/officeDocument/2006/relationships/hyperlink" Target="https://www.fellkost.de/content/partners/466587/shop/shop/article/11291/rinderlunge_200g_1_stueck_?category=62193" TargetMode="External" Id="rId117"/><Relationship Type="http://schemas.openxmlformats.org/officeDocument/2006/relationships/hyperlink" Target="https://www.fellkost.de/content/partners/466587/shop/shop/article/25077/pro_jumboknochen_1_stueck_?category=62193" TargetMode="External" Id="rId118"/><Relationship Type="http://schemas.openxmlformats.org/officeDocument/2006/relationships/hyperlink" Target="https://www.fellkost.de/content/partners/466587/shop/shop/article/401478/kabeljau-sticks_200g_1_stueck_?category=62193" TargetMode="External" Id="rId119"/><Relationship Type="http://schemas.openxmlformats.org/officeDocument/2006/relationships/hyperlink" Target="https://www.fellkost.de/content/partners/466587/shop/shop/article/11266/rinderpansen_200g_1_stueck_?category=62193" TargetMode="External" Id="rId120"/><Relationship Type="http://schemas.openxmlformats.org/officeDocument/2006/relationships/hyperlink" Target="https://www.fellkost.de/content/partners/466587/shop/shop/article/11271/trockenfleisch_200g_1_stueck_?category=62193" TargetMode="External" Id="rId121"/><Relationship Type="http://schemas.openxmlformats.org/officeDocument/2006/relationships/hyperlink" Target="https://www.fellkost.de/content/partners/466587/shop/shop/article/305704/kaes-stangerl_maxi_1_beutel_" TargetMode="External" Id="rId122"/><Relationship Type="http://schemas.openxmlformats.org/officeDocument/2006/relationships/hyperlink" Target="https://www.fellkost.de/content/partners/466587/shop/shop/article/305622/kaes-stangerl_mini_1_beutel_?category=62193" TargetMode="External" Id="rId123"/><Relationship Type="http://schemas.openxmlformats.org/officeDocument/2006/relationships/hyperlink" Target="https://www.fellkost.de/content/partners/466587/shop/shop/article/11274/kopfhaut_200g_1_stueck_?category=62193" TargetMode="External" Id="rId124"/><Relationship Type="http://schemas.openxmlformats.org/officeDocument/2006/relationships/hyperlink" Target="https://www.fellkost.de/content/partners/466587/shop/shop/article/11292/rinderstrossen_200g_1_stueck_?category=62193" TargetMode="External" Id="rId125"/><Relationship Type="http://schemas.openxmlformats.org/officeDocument/2006/relationships/hyperlink" Target="https://www.fellkost.de/content/partners/466587/shop/shop/article/11278/rinderohren_200g_1_stueck_?category=62193" TargetMode="External" Id="rId126"/><Relationship Type="http://schemas.openxmlformats.org/officeDocument/2006/relationships/hyperlink" Target="https://www.fellkost.de/content/partners/466587/shop/shop/article/11268/haehnchenmaegen_200g_1_stueck_?category=62193" TargetMode="External" Id="rId127"/><Relationship Type="http://schemas.openxmlformats.org/officeDocument/2006/relationships/hyperlink" Target="https://www.fellkost.de/content/partners/466587/shop/shop/article/116033/pferdebrocken_200g_1_stueck_?category=62193" TargetMode="External" Id="rId128"/><Relationship Type="http://schemas.openxmlformats.org/officeDocument/2006/relationships/hyperlink" Target="https://www.fellkost.de/content/partners/466587/shop/shop/article/278883/kolostrum_50g_1_stueck_?category=62194" TargetMode="External" Id="rId129"/><Relationship Type="http://schemas.openxmlformats.org/officeDocument/2006/relationships/hyperlink" Target="https://www.fellkost.de/content/partners/466587/shop/shop/article/398758/power-darm_60g_1_stueck_?category=62194" TargetMode="External" Id="rId130"/><Relationship Type="http://schemas.openxmlformats.org/officeDocument/2006/relationships/hyperlink" Target="https://www.fellkost.de/content/partners/466587/shop/shop/article/11286/power-darm_140g_1_stueck_" TargetMode="External" Id="rId131"/><Relationship Type="http://schemas.openxmlformats.org/officeDocument/2006/relationships/hyperlink" Target="https://www.fellkost.de/content/partners/466587/shop/shop/article/44401/bierhefe_chlorella_170g_1_stueck_?category=62194" TargetMode="External" Id="rId132"/><Relationship Type="http://schemas.openxmlformats.org/officeDocument/2006/relationships/hyperlink" Target="https://www.fellkost.de/content/partners/466587/shop/shop/article/56537/bewegung-fit_80g_1_stueck_?category=62194" TargetMode="External" Id="rId133"/><Relationship Type="http://schemas.openxmlformats.org/officeDocument/2006/relationships/hyperlink" Target="https://www.fellkost.de/content/partners/466587/shop/shop/article/11289/fell-fit_70g_1_stueck_?category=62194" TargetMode="External" Id="rId134"/><Relationship Type="http://schemas.openxmlformats.org/officeDocument/2006/relationships/hyperlink" Target="https://www.fellkost.de/content/partners/466587/shop/shop/article/302550/leber_nieren_kur_80g_1_stueck_?category=62194" TargetMode="External" Id="rId135"/><Relationship Type="http://schemas.openxmlformats.org/officeDocument/2006/relationships/hyperlink" Target="https://www.fellkost.de/content/partners/466587/shop/shop/article/46835/enzym-booster_80g_1_stueck_?category=62194" TargetMode="External" Id="rId136"/><Relationship Type="http://schemas.openxmlformats.org/officeDocument/2006/relationships/hyperlink" Target="https://www.fellkost.de/content/partners/466587/shop/shop/article/25996/kraeuter_wurm-ex_140g_1_stueck_?category=62194" TargetMode="External" Id="rId137"/><Relationship Type="http://schemas.openxmlformats.org/officeDocument/2006/relationships/hyperlink" Target="https://www.fellkost.de/content/partners/466587/shop/shop/article/75771/phosphatbinder_125g_1_stueck_?category=62194" TargetMode="External" Id="rId138"/><Relationship Type="http://schemas.openxmlformats.org/officeDocument/2006/relationships/hyperlink" Target="https://www.fellkost.de/content/partners/466587/shop/shop/article/61430/blase-fit_150g_1_stueck_?category=62194" TargetMode="External" Id="rId139"/><Relationship Type="http://schemas.openxmlformats.org/officeDocument/2006/relationships/hyperlink" Target="https://www.fellkost.de/content/partners/466587/shop/shop/article/11285/augenrein_75g_1_stueck_?category=62194" TargetMode="External" Id="rId140"/><Relationship Type="http://schemas.openxmlformats.org/officeDocument/2006/relationships/hyperlink" Target="https://www.fellkost.de/content/partners/466587/shop/shop/article/47260/pro_dentax_60g_1_stueck_?category=62194" TargetMode="External" Id="rId141"/><Relationship Type="http://schemas.openxmlformats.org/officeDocument/2006/relationships/hyperlink" Target="https://www.fellkost.de/content/partners/466587/shop/shop/article/35133/pro_fellpflege_500ml_1_stueck_?category=62194" TargetMode="External" Id="rId142"/><Relationship Type="http://schemas.openxmlformats.org/officeDocument/2006/relationships/hyperlink" Target="https://www.fellkost.de/content/partners/466587/shop/shop/article/11284/pfotenbalsam_100_ml_1_stueck_?category=62194" TargetMode="External" Id="rId143"/><Relationship Type="http://schemas.openxmlformats.org/officeDocument/2006/relationships/hyperlink" Target="https://www.fellkost.de/content/partners/466587/shop/shop/article/11317/floh-_u_zeckenschutz_30ml_1_stueck_?category=62194" TargetMode="External" Id="rId144"/><Relationship Type="http://schemas.openxmlformats.org/officeDocument/2006/relationships/hyperlink" Target="https://www.fellkost.de/content/partners/466587/shop/shop/article/11321/floh-_u_zeckenschutz_set_100_30ml_1_stueck_" TargetMode="External" Id="rId145"/><Relationship Type="http://schemas.openxmlformats.org/officeDocument/2006/relationships/hyperlink" Target="https://www.fellkost.de/content/partners/466587/shop/shop/article/11318/floh_zeckenschutz_nachfuellung_100ml_1_stueck_" TargetMode="External" Id="rId146"/><Relationship Type="http://schemas.openxmlformats.org/officeDocument/2006/relationships/hyperlink" Target="https://www.fellkost.de/content/partners/466587/shop/shop/article/43571/basenpulver_hund_katze_250g_1_stueck_?category=62194" TargetMode="External" Id="rId147"/><Relationship Type="http://schemas.openxmlformats.org/officeDocument/2006/relationships/hyperlink" Target="https://www.fellkost.de/content/partners/466587/shop/shop/article/11282/struvisan_100_ml_1_stueck_?category=62194" TargetMode="External" Id="rId148"/><Relationship Type="http://schemas.openxmlformats.org/officeDocument/2006/relationships/hyperlink" Target="https://www.fellkost.de/content/partners/466587/shop/shop/article/26740/pro_relax_30ml_1_stueck_?category=62194" TargetMode="External" Id="rId149"/><Relationship Type="http://schemas.openxmlformats.org/officeDocument/2006/relationships/hyperlink" Target="https://www.fellkost.de/content/partners/466587/shop/shop/article/173217/verdauungsretter_30g_1_stueck_?category=62194" TargetMode="External" Id="rId150"/><Relationship Type="http://schemas.openxmlformats.org/officeDocument/2006/relationships/hyperlink" Target="https://www.fellkost.de/content/partners/466587/shop/shop/article/297787/morosche_karottensuppe_390g_1_stueck_?category=62194" TargetMode="External" Id="rId151"/><Relationship Type="http://schemas.openxmlformats.org/officeDocument/2006/relationships/hyperlink" Target="https://www.fellkost.de/content/partners/466587/shop/shop/article/11403/anifit_schnappdeckel_klein_1_stueck_?category=62195" TargetMode="External" Id="rId152"/><Relationship Type="http://schemas.openxmlformats.org/officeDocument/2006/relationships/hyperlink" Target="https://www.fellkost.de/content/partners/466587/shop/shop/article/11401/anifit_schnappdeckel_gross_1_stueck_?category=62195" TargetMode="External" Id="rId153"/><Relationship Type="http://schemas.openxmlformats.org/officeDocument/2006/relationships/hyperlink" Target="https://www.fellkost.de/content/partners/466587/shop/shop/article/26742/pro_shampoo_250ml_1_stueck_?category=62195" TargetMode="External" Id="rId154"/><Relationship Type="http://schemas.openxmlformats.org/officeDocument/2006/relationships/hyperlink" Target="https://www.fellkost.de/content/partners/466587/shop/shop/article/35133/pro_fellpflege_500ml_1_stueck_?category=62195" TargetMode="External" Id="rId155"/><Relationship Type="http://schemas.openxmlformats.org/officeDocument/2006/relationships/hyperlink" Target="https://www.fellkost.de/content/partners/466587/shop/shop/article/36442/spruehpistole_1_stueck_?category=62195" TargetMode="External" Id="rId156"/><Relationship Type="http://schemas.openxmlformats.org/officeDocument/2006/relationships/hyperlink" Target="https://www.fellkost.de/content/partners/466587/shop/shop/article/11416/anifit_futternapf_klein_1_stueck_?category=62195" TargetMode="External" Id="rId157"/><Relationship Type="http://schemas.openxmlformats.org/officeDocument/2006/relationships/hyperlink" Target="https://www.fellkost.de/content/partners/466587/shop/shop/article/11815/anifit_futternapf_gross_1_stueck_" TargetMode="External" Id="rId158"/><Relationship Type="http://schemas.openxmlformats.org/officeDocument/2006/relationships/hyperlink" Target="https://www.fellkost.de/content/partners/466587/shop/shop/article/170279/snack-beutel_1_stueck_?category=62195" TargetMode="External" Id="rId159"/><Relationship Type="http://schemas.openxmlformats.org/officeDocument/2006/relationships/hyperlink" Target="https://www.fellkost.de/content/partners/466587/shop/shop/article/298650/resteloeffel_1_stueck_?category=62195" TargetMode="External" Id="rId160"/><Relationship Type="http://schemas.openxmlformats.org/officeDocument/2006/relationships/hyperlink" Target="https://www.fellkost.de/content/partners/466587/shop/shop/article/290602/schnupperpaket_katzen_200g_1_paket_mit_verschiedenen_sorten_testpackungen_?category=62197" TargetMode="External" Id="rId161"/><Relationship Type="http://schemas.openxmlformats.org/officeDocument/2006/relationships/hyperlink" Target="https://www.fellkost.de/content/partners/466587/shop/shop/article/290681/schnupperpaket_katzen_400g_1_paket_mit_verschiedenen_sorten_testpackungen_" TargetMode="External" Id="rId162"/><Relationship Type="http://schemas.openxmlformats.org/officeDocument/2006/relationships/hyperlink" Target="https://www.fellkost.de/content/partners/466587/shop/shop/article/290760/schnupperpaket_katzen_810g_1_paket_mit_verschiedenen_sorten_testpackungen_" TargetMode="External" Id="rId163"/><Relationship Type="http://schemas.openxmlformats.org/officeDocument/2006/relationships/hyperlink" Target="https://www.fellkost.de/content/partners/466587/shop/shop/article/279639/futterumstellungspaket_katze_1_paket_?category=62197" TargetMode="External" Id="rId164"/><Relationship Type="http://schemas.openxmlformats.org/officeDocument/2006/relationships/hyperlink" Target="https://www.fellkost.de/content/partners/466587/shop/shop/article/404966/bio_steak_sensation_200g_6_stueck_?category=62197" TargetMode="External" Id="rId165"/><Relationship Type="http://schemas.openxmlformats.org/officeDocument/2006/relationships/hyperlink" Target="https://www.fellkost.de/content/partners/466587/shop/shop/article/405046/bio_steak_sensation_400g_6_stueck_" TargetMode="External" Id="rId166"/><Relationship Type="http://schemas.openxmlformats.org/officeDocument/2006/relationships/hyperlink" Target="https://www.fellkost.de/content/partners/466587/shop/shop/article/405126/bio_steak_sensation_800g_6_stueck_" TargetMode="External" Id="rId167"/><Relationship Type="http://schemas.openxmlformats.org/officeDocument/2006/relationships/hyperlink" Target="https://www.fellkost.de/content/partners/466587/shop/shop/article/405206/bio_entenenergie_200g_6_stueck_?category=62197" TargetMode="External" Id="rId168"/><Relationship Type="http://schemas.openxmlformats.org/officeDocument/2006/relationships/hyperlink" Target="https://www.fellkost.de/content/partners/466587/shop/shop/article/405286/bio_entenenergie_400g_6_stueck_" TargetMode="External" Id="rId169"/><Relationship Type="http://schemas.openxmlformats.org/officeDocument/2006/relationships/hyperlink" Target="https://www.fellkost.de/content/partners/466587/shop/shop/article/405366/bio_entenenergie_800g_6_stueck_" TargetMode="External" Id="rId170"/><Relationship Type="http://schemas.openxmlformats.org/officeDocument/2006/relationships/hyperlink" Target="https://www.fellkost.de/content/partners/466587/shop/shop/article/11239/fisch_la_mode_200g_6_stueck_?category=62197" TargetMode="External" Id="rId171"/><Relationship Type="http://schemas.openxmlformats.org/officeDocument/2006/relationships/hyperlink" Target="https://www.fellkost.de/content/partners/466587/shop/shop/article/11241/fisch_la_mode_400g_6_stueck_" TargetMode="External" Id="rId172"/><Relationship Type="http://schemas.openxmlformats.org/officeDocument/2006/relationships/hyperlink" Target="https://www.fellkost.de/content/partners/466587/shop/shop/article/11242/fisch_la_mode_810g_6_stueck_" TargetMode="External" Id="rId173"/><Relationship Type="http://schemas.openxmlformats.org/officeDocument/2006/relationships/hyperlink" Target="https://www.fellkost.de/content/partners/466587/shop/shop/article/11245/d_lice_de_coeur_200g_6_stueck_?category=62197" TargetMode="External" Id="rId174"/><Relationship Type="http://schemas.openxmlformats.org/officeDocument/2006/relationships/hyperlink" Target="https://www.fellkost.de/content/partners/466587/shop/shop/article/11246/d_lice_de_coeur_400g_6_stueck_" TargetMode="External" Id="rId175"/><Relationship Type="http://schemas.openxmlformats.org/officeDocument/2006/relationships/hyperlink" Target="https://www.fellkost.de/content/partners/466587/shop/shop/article/48206/d_lice_de_coeur_810g_6_stueck_" TargetMode="External" Id="rId176"/><Relationship Type="http://schemas.openxmlformats.org/officeDocument/2006/relationships/hyperlink" Target="https://www.fellkost.de/content/partners/466587/shop/shop/article/43379/nautilus_ragout_200g_6_stueck_?category=62197" TargetMode="External" Id="rId177"/><Relationship Type="http://schemas.openxmlformats.org/officeDocument/2006/relationships/hyperlink" Target="https://www.fellkost.de/content/partners/466587/shop/shop/article/11250/nautilus_ragout_400g_6_stueck_" TargetMode="External" Id="rId178"/><Relationship Type="http://schemas.openxmlformats.org/officeDocument/2006/relationships/hyperlink" Target="https://www.fellkost.de/content/partners/466587/shop/shop/article/43643/nautilus_ragout_810g_6_stueck_" TargetMode="External" Id="rId179"/><Relationship Type="http://schemas.openxmlformats.org/officeDocument/2006/relationships/hyperlink" Target="https://www.fellkost.de/content/partners/466587/shop/shop/article/11252/eismeer_terrine_200g_6_stueck_?category=62197" TargetMode="External" Id="rId180"/><Relationship Type="http://schemas.openxmlformats.org/officeDocument/2006/relationships/hyperlink" Target="https://www.fellkost.de/content/partners/466587/shop/shop/article/11254/eismeer_terrine_400g_6_stueck_" TargetMode="External" Id="rId181"/><Relationship Type="http://schemas.openxmlformats.org/officeDocument/2006/relationships/hyperlink" Target="https://www.fellkost.de/content/partners/466587/shop/shop/article/11255/eismeer_terrine_810g_6_stueck_" TargetMode="External" Id="rId182"/><Relationship Type="http://schemas.openxmlformats.org/officeDocument/2006/relationships/hyperlink" Target="https://www.fellkost.de/content/partners/466587/shop/shop/article/11261/puterichs_delight_200g_6_stueck_?category=62197" TargetMode="External" Id="rId183"/><Relationship Type="http://schemas.openxmlformats.org/officeDocument/2006/relationships/hyperlink" Target="https://www.fellkost.de/content/partners/466587/shop/shop/article/11262/puterichs_delight_400g_6_stueck_" TargetMode="External" Id="rId184"/><Relationship Type="http://schemas.openxmlformats.org/officeDocument/2006/relationships/hyperlink" Target="https://www.fellkost.de/content/partners/466587/shop/shop/article/11263/puterichs_delight_810g_6_stueck_" TargetMode="External" Id="rId185"/><Relationship Type="http://schemas.openxmlformats.org/officeDocument/2006/relationships/hyperlink" Target="https://www.fellkost.de/content/partners/466587/shop/shop/article/11259/powertoepfchen_200g_6_stueck_?category=62197" TargetMode="External" Id="rId186"/><Relationship Type="http://schemas.openxmlformats.org/officeDocument/2006/relationships/hyperlink" Target="https://www.fellkost.de/content/partners/466587/shop/shop/article/11260/powertoepfchen_400g_6_stueck_" TargetMode="External" Id="rId187"/><Relationship Type="http://schemas.openxmlformats.org/officeDocument/2006/relationships/hyperlink" Target="https://www.fellkost.de/content/partners/466587/shop/shop/article/45147/powertoepfchen_810g_6_stueck_" TargetMode="External" Id="rId188"/><Relationship Type="http://schemas.openxmlformats.org/officeDocument/2006/relationships/hyperlink" Target="https://www.fellkost.de/content/partners/466587/shop/shop/article/103889/rycat_bio-ente_400g_6_stueck_?category=62197" TargetMode="External" Id="rId189"/><Relationship Type="http://schemas.openxmlformats.org/officeDocument/2006/relationships/hyperlink" Target="https://www.fellkost.de/content/partners/466587/shop/shop/article/42686/rycat_bio-ente_800g_6_stueck_" TargetMode="External" Id="rId190"/><Relationship Type="http://schemas.openxmlformats.org/officeDocument/2006/relationships/hyperlink" Target="https://www.fellkost.de/content/partners/466587/shop/shop/article/151763/notration_d_lice_de_coeur_150g_1_stueck_?category=62197" TargetMode="External" Id="rId191"/><Relationship Type="http://schemas.openxmlformats.org/officeDocument/2006/relationships/hyperlink" Target="https://www.fellkost.de/content/partners/466587/shop/shop/article/27190/amovit_katze_100g_1_stueck_" TargetMode="External" Id="rId192"/><Relationship Type="http://schemas.openxmlformats.org/officeDocument/2006/relationships/hyperlink" Target="https://www.fellkost.de/content/partners/466587/shop/shop/article/37832/bento-streu_7kg_1_stueck_?category=62201" TargetMode="External" Id="rId193"/><Relationship Type="http://schemas.openxmlformats.org/officeDocument/2006/relationships/hyperlink" Target="https://www.fellkost.de/content/partners/466587/shop/shop/article/11303/pinienstreu_4_kg_1_stueck_?category=62201" TargetMode="External" Id="rId194"/><Relationship Type="http://schemas.openxmlformats.org/officeDocument/2006/relationships/hyperlink" Target="https://www.fellkost.de/content/partners/466587/shop/shop/article/25718/pinienstreu_40_kg_1_stueck_" TargetMode="External" Id="rId195"/><Relationship Type="http://schemas.openxmlformats.org/officeDocument/2006/relationships/hyperlink" Target="https://www.fellkost.de/content/partners/466587/shop/shop/article/25139/pro_katzenspielkissen_1_stueck_?category=62201" TargetMode="External" Id="rId196"/><Relationship Type="http://schemas.openxmlformats.org/officeDocument/2006/relationships/hyperlink" Target="https://www.fellkost.de/content/partners/466587/shop/shop/article/423343/bio_gans_im_glueck_200g_6_stueck_?category=62183" TargetMode="External" Id="rId197"/><Relationship Type="http://schemas.openxmlformats.org/officeDocument/2006/relationships/hyperlink" Target="https://www.fellkost.de/content/partners/466587/shop/shop/article/423439/bio_gans_im_glueck_400g_6_stueck_?category=62183" TargetMode="External" Id="rId198"/><Relationship Type="http://schemas.openxmlformats.org/officeDocument/2006/relationships/hyperlink" Target="https://www.fellkost.de/content/partners/466587/shop/shop/article/423521/bio_gans_im_glueck_800g_6_stueck_" TargetMode="External" Id="rId199"/><Relationship Type="http://schemas.openxmlformats.org/officeDocument/2006/relationships/hyperlink" Target="https://www.fellkost.de/content/partners/466587/shop/shop/article/429943/mix-paket_12_x_85gr_12_x_85g_1_karton_mit_4_sorten_" TargetMode="External" Id="rId200"/><Relationship Type="http://schemas.openxmlformats.org/officeDocument/2006/relationships/hyperlink" Target="https://www.fellkost.de/content/partners/466587/shop/shop/article/429559/lieblingslamm_85g_12_stueck_" TargetMode="External" Id="rId201"/><Relationship Type="http://schemas.openxmlformats.org/officeDocument/2006/relationships/hyperlink" Target="https://www.fellkost.de/content/partners/466587/shop/shop/article/429239/truthahn_tango_85g_12_stueck_" TargetMode="External" Id="rId202"/><Relationship Type="http://schemas.openxmlformats.org/officeDocument/2006/relationships/hyperlink" Target="https://www.fellkost.de/content/partners/466587/shop/shop/article/429639/lachsliebe_85g_12_stueck_" TargetMode="External" Id="rId203"/><Relationship Type="http://schemas.openxmlformats.org/officeDocument/2006/relationships/hyperlink" Target="https://www.fellkost.de/content/partners/466587/shop/shop/article/429479/himmlischer_hase_85g_12_stueck_" TargetMode="External" Id="rId204"/><Relationship Type="http://schemas.openxmlformats.org/officeDocument/2006/relationships/hyperlink" Target="https://www.fellkost.de/content/partners/466587/shop/shop/article/50497/adventskalender_hund_katze_1_stueck_" TargetMode="External" Id="rId205"/></Relationships>
</file>

<file path=xl/worksheets/sheet1.xml><?xml version="1.0" encoding="utf-8"?>
<worksheet xmlns="http://schemas.openxmlformats.org/spreadsheetml/2006/main">
  <sheetPr>
    <outlinePr summaryBelow="0" summaryRight="0"/>
    <pageSetUpPr/>
  </sheetPr>
  <dimension ref="A1:AL999"/>
  <sheetViews>
    <sheetView workbookViewId="0">
      <selection activeCell="A1" sqref="A1"/>
    </sheetView>
  </sheetViews>
  <sheetFormatPr baseColWidth="8" defaultColWidth="12.63" defaultRowHeight="15.75" customHeight="1"/>
  <cols>
    <col width="25.13" customWidth="1" style="18" min="1" max="1"/>
    <col width="103.5" customWidth="1" style="18" min="2" max="2"/>
    <col width="99" customWidth="1" style="18" min="3" max="3"/>
    <col collapsed="1" width="25.13" customWidth="1" style="18" min="4" max="4"/>
    <col hidden="1" outlineLevel="1" width="25.13" customWidth="1" style="18" min="5" max="6"/>
    <col collapsed="1" width="25.13" customWidth="1" style="18" min="7" max="7"/>
    <col hidden="1" outlineLevel="1" width="25.13" customWidth="1" style="18" min="8" max="8"/>
    <col width="25.13" customWidth="1" style="18" min="9" max="9"/>
    <col collapsed="1" width="25.13" customWidth="1" style="18" min="10" max="10"/>
    <col hidden="1" outlineLevel="1" width="25.13" customWidth="1" style="18" min="11" max="12"/>
    <col width="25.13" customWidth="1" style="18" min="13" max="22"/>
    <col collapsed="1" width="25.13" customWidth="1" style="18" min="23" max="23"/>
    <col hidden="1" outlineLevel="1" width="25.13" customWidth="1" style="18" min="24" max="25"/>
    <col width="25.13" customWidth="1" style="18" min="26" max="38"/>
  </cols>
  <sheetData>
    <row r="1">
      <c r="A1" s="1">
        <f>HYPERLINK("https://support.google.com/merchants/answer/6324405", "id")</f>
        <v/>
      </c>
      <c r="B1" s="1">
        <f>HYPERLINK("https://support.google.com/merchants/answer/6324415", "title")</f>
        <v/>
      </c>
      <c r="C1" s="1">
        <f>HYPERLINK("https://support.google.com/merchants/answer/6324468", "description")</f>
        <v/>
      </c>
      <c r="D1" s="1">
        <f>HYPERLINK("https://support.google.com/merchants/answer/6324448", "availability")</f>
        <v/>
      </c>
      <c r="E1" s="1">
        <f>HYPERLINK("https://support.google.com/merchants/answer/6324470", "availability date")</f>
        <v/>
      </c>
      <c r="F1" s="1">
        <f>HYPERLINK("https://support.google.com/merchants/answer/6324499", "expiration date")</f>
        <v/>
      </c>
      <c r="G1" s="1">
        <f>HYPERLINK("https://support.google.com/merchants/answer/6324416", "link")</f>
        <v/>
      </c>
      <c r="H1" s="1">
        <f>HYPERLINK("https://support.google.com/merchants/answer/6324459", "mobile link")</f>
        <v/>
      </c>
      <c r="I1" s="1">
        <f>HYPERLINK("https://support.google.com/merchants/answer/6324350", "image link")</f>
        <v/>
      </c>
      <c r="J1" s="1">
        <f>HYPERLINK("https://support.google.com/merchants/answer/6324371", "price")</f>
        <v/>
      </c>
      <c r="K1" s="1">
        <f>HYPERLINK("https://support.google.com/merchants/answer/6324471", "sale price")</f>
        <v/>
      </c>
      <c r="L1" s="1">
        <f>HYPERLINK("https://support.google.com/merchants/answer/6324460?hl=en&amp;ref_topic=6324338", "sale price effective date")</f>
        <v/>
      </c>
      <c r="M1" s="1">
        <f>HYPERLINK("https://support.google.com/merchants/answer/6324478", "identifier exists")</f>
        <v/>
      </c>
      <c r="N1" s="1">
        <f>HYPERLINK("https://support.google.com/merchants/answer/6324461", "gtin")</f>
        <v/>
      </c>
      <c r="O1" s="1">
        <f>HYPERLINK("https://support.google.com/merchants/answer/6324482", "mpn")</f>
        <v/>
      </c>
      <c r="P1" s="2" t="inlineStr">
        <is>
          <t>brand</t>
        </is>
      </c>
      <c r="Q1" s="1">
        <f>HYPERLINK("https://support.google.com/merchants/answer/9216100", "product highlight")</f>
        <v/>
      </c>
      <c r="R1" s="1">
        <f>HYPERLINK("https://support.google.com/merchants/answer/9218260", "product detail")</f>
        <v/>
      </c>
      <c r="S1" s="1">
        <f>HYPERLINK("https://support.google.com/merchants/answer/6324370", "additional image link")</f>
        <v/>
      </c>
      <c r="T1" s="1">
        <f>HYPERLINK("https://support.google.com/merchants/answer/6324469", "condition")</f>
        <v/>
      </c>
      <c r="U1" s="1">
        <f>HYPERLINK("https://support.google.com/merchants/answer/6324508", "adult")</f>
        <v/>
      </c>
      <c r="V1" s="1">
        <f>HYPERLINK("https://support.google.com/merchants/answer/6324487", "color")</f>
        <v/>
      </c>
      <c r="W1" s="1">
        <f>HYPERLINK("https://support.google.com/merchants/answer/6324492", "size")</f>
        <v/>
      </c>
      <c r="X1" s="1">
        <f>HYPERLINK("https://support.google.com/merchants/answer/63244972", "size type")</f>
        <v/>
      </c>
      <c r="Y1" s="1">
        <f>HYPERLINK("https://support.google.com/merchants/answer/6324502", "size system")</f>
        <v/>
      </c>
      <c r="Z1" s="1">
        <f>HYPERLINK("https://support.google.com/merchants/answer/6324479", "gender")</f>
        <v/>
      </c>
      <c r="AA1" s="1">
        <f>HYPERLINK("https://support.google.com/merchants/answer/6324410", "material")</f>
        <v/>
      </c>
      <c r="AB1" s="1">
        <f>HYPERLINK("https://support.google.com/merchants/answer/6324483", "pattern")</f>
        <v/>
      </c>
      <c r="AC1" s="1">
        <f>HYPERLINK("https://support.google.com/merchants/answer/6324463", "age group")</f>
        <v/>
      </c>
      <c r="AD1" s="1">
        <f>HYPERLINK("https://support.google.com/merchants/answer/6324488", "multipack")</f>
        <v/>
      </c>
      <c r="AE1" s="1">
        <f>HYPERLINK("https://support.google.com/merchants/answer/6324449", "is bundle")</f>
        <v/>
      </c>
      <c r="AF1" s="1">
        <f>HYPERLINK("https://support.google.com/merchants/answer/6324455", "unit pricing measure")</f>
        <v/>
      </c>
      <c r="AG1" s="1">
        <f>HYPERLINK("https://support.google.com/merchants/answer/6324490", "unit pricing base measure")</f>
        <v/>
      </c>
      <c r="AH1" s="1">
        <f>HYPERLINK("https://support.google.com/merchants/answer/7562785", "energy efficiency class")</f>
        <v/>
      </c>
      <c r="AI1" s="1">
        <f>HYPERLINK("https://support.google.com/merchants/answer/7562785", "min energy efficiency class")</f>
        <v/>
      </c>
      <c r="AJ1" s="1">
        <f>HYPERLINK("https://support.google.com/merchants/answer/7562785", "min energy efficiency class")</f>
        <v/>
      </c>
      <c r="AK1" s="1">
        <f>HYPERLINK("https://support.google.com/merchants/answer/6324507", "item group id")</f>
        <v/>
      </c>
      <c r="AL1" s="1">
        <f>HYPERLINK("https://support.google.com/merchants/answer/9451716", "sell on google quantity")</f>
        <v/>
      </c>
    </row>
    <row r="2">
      <c r="A2" s="3" t="n">
        <v>284379</v>
      </c>
      <c r="B2" s="6" t="inlineStr">
        <is>
          <t>ANIfit Hunde Schnupperpaket – Nassfutter 200g Dosen &amp; Flocken Testpaket, verschiedene Sorten zum Probieren, artgerechtes Hundefutter</t>
        </is>
      </c>
      <c r="C2" s="6" t="inlineStr">
        <is>
          <t>Mit dem ANIfit Hunde Schnupperpaket kannst du ganz einfach testen, wie dein Hund auf hochwertiges Nassfutter in Lebensmittelqualität reagiert. Das Paket enthält verschiedene Sorten im handlichen 200g-Format sowie passende Flocken-Proben.</t>
        </is>
      </c>
      <c r="D2" s="6" t="inlineStr">
        <is>
          <t>in_stock</t>
        </is>
      </c>
      <c r="E2" s="6" t="inlineStr"/>
      <c r="F2" s="6" t="inlineStr"/>
      <c r="G2" s="16" t="inlineStr">
        <is>
          <t>https://www.fellkost.de/content/partners/466587/shop/shop/article/284379/hunde-schnupperpaket_200g_1_set_mit_verschiedenen_sorten_flocken_testpackungen_</t>
        </is>
      </c>
      <c r="H2" s="6" t="inlineStr"/>
      <c r="I2" s="6" t="inlineStr">
        <is>
          <t>https://www.fellkost.de/static/content/e18829/e18831/e18851/e18852/e114865/image_shop1/ger/Schnupperpaket%20Hunde%20Nassfutter%20ANIfit%20200%20g%201920%20x%20%201920_w960_h960_q90_jpg.jpg</t>
        </is>
      </c>
      <c r="J2" s="7" t="n">
        <v>32.49</v>
      </c>
      <c r="K2" s="6" t="inlineStr"/>
      <c r="L2" s="6" t="inlineStr"/>
      <c r="M2" s="6" t="inlineStr">
        <is>
          <t>no</t>
        </is>
      </c>
      <c r="N2" s="6" t="inlineStr"/>
      <c r="O2" s="6" t="inlineStr"/>
      <c r="P2" s="6" t="inlineStr">
        <is>
          <t>ANIfit</t>
        </is>
      </c>
      <c r="Q2" s="6" t="n"/>
      <c r="R2" s="6" t="inlineStr"/>
      <c r="S2" s="6" t="inlineStr"/>
      <c r="T2" s="6" t="inlineStr">
        <is>
          <t>new</t>
        </is>
      </c>
      <c r="U2" s="6" t="inlineStr">
        <is>
          <t>no</t>
        </is>
      </c>
      <c r="V2" s="6" t="inlineStr"/>
      <c r="W2" s="6" t="inlineStr"/>
      <c r="X2" s="6" t="inlineStr"/>
      <c r="Y2" s="6" t="inlineStr"/>
      <c r="Z2" s="6" t="inlineStr"/>
      <c r="AA2" s="6" t="inlineStr"/>
      <c r="AB2" s="6" t="inlineStr"/>
      <c r="AC2" s="6" t="inlineStr"/>
      <c r="AD2" s="6" t="inlineStr"/>
      <c r="AE2" s="6" t="inlineStr"/>
      <c r="AF2" s="6" t="inlineStr"/>
      <c r="AG2" s="6" t="inlineStr"/>
      <c r="AH2" s="6" t="inlineStr"/>
      <c r="AI2" s="6" t="inlineStr"/>
      <c r="AJ2" s="6" t="inlineStr"/>
      <c r="AK2" s="6" t="inlineStr"/>
      <c r="AL2" s="3" t="n">
        <v>500</v>
      </c>
    </row>
    <row r="3">
      <c r="A3" s="3" t="n">
        <v>284458</v>
      </c>
      <c r="B3" s="6" t="inlineStr">
        <is>
          <t>ANIfit Hunde Schnupperpaket – Nassfutter 400g Dosen &amp; Flocken Testpaket, verschiedene Sorten zum Probieren, artgerechtes Hundefutter</t>
        </is>
      </c>
      <c r="C3" s="6" t="inlineStr">
        <is>
          <t>ANIfit Hunde Schnupperpaket – Nassfutter 400g Dosen &amp; Flocken Testpaket, verschiedene Sorten zum Probieren, artgerechtes Hundefutter</t>
        </is>
      </c>
      <c r="D3" s="6" t="inlineStr">
        <is>
          <t>in_stock</t>
        </is>
      </c>
      <c r="E3" s="6" t="inlineStr"/>
      <c r="F3" s="6" t="inlineStr"/>
      <c r="G3" s="8" t="inlineStr">
        <is>
          <t>https://www.fellkost.de/content/partners/466587/shop/shop/article/284458/hunde-schnupperpaket_400g_1_set_mit_verschiedenen_sorten_flocken_testpackungen_</t>
        </is>
      </c>
      <c r="H3" s="6" t="inlineStr"/>
      <c r="I3" s="6" t="inlineStr">
        <is>
          <t>https://www.fellkost.de/static/content/e18829/e18831/e18851/e18852/e114865/image_shop1/ger/Schnupperpaket%20Hunde%20Nassfutter%20ANIfit%20200%20g%201920%20x%20%201920_w960_h960_q90_jpg.jpg</t>
        </is>
      </c>
      <c r="J3" s="7" t="n">
        <v>46.49</v>
      </c>
      <c r="K3" s="6" t="inlineStr"/>
      <c r="L3" s="6" t="inlineStr"/>
      <c r="M3" s="6" t="inlineStr">
        <is>
          <t>no</t>
        </is>
      </c>
      <c r="N3" s="6" t="inlineStr"/>
      <c r="O3" s="6" t="inlineStr"/>
      <c r="P3" s="6" t="inlineStr">
        <is>
          <t>ANIfit</t>
        </is>
      </c>
      <c r="Q3" s="6" t="n"/>
      <c r="R3" s="6" t="inlineStr"/>
      <c r="S3" s="6" t="inlineStr"/>
      <c r="T3" s="6" t="inlineStr">
        <is>
          <t>new</t>
        </is>
      </c>
      <c r="U3" s="6" t="inlineStr">
        <is>
          <t>no</t>
        </is>
      </c>
      <c r="V3" s="6" t="inlineStr"/>
      <c r="W3" s="6" t="inlineStr"/>
      <c r="X3" s="6" t="inlineStr"/>
      <c r="Y3" s="6" t="inlineStr"/>
      <c r="Z3" s="6" t="inlineStr"/>
      <c r="AA3" s="6" t="inlineStr"/>
      <c r="AB3" s="6" t="inlineStr"/>
      <c r="AC3" s="6" t="inlineStr"/>
      <c r="AD3" s="6" t="inlineStr"/>
      <c r="AE3" s="6" t="inlineStr"/>
      <c r="AF3" s="6" t="inlineStr"/>
      <c r="AG3" s="6" t="inlineStr"/>
      <c r="AH3" s="6" t="inlineStr"/>
      <c r="AI3" s="6" t="inlineStr"/>
      <c r="AJ3" s="6" t="inlineStr"/>
      <c r="AK3" s="6" t="inlineStr"/>
      <c r="AL3" s="3" t="n">
        <v>500</v>
      </c>
    </row>
    <row r="4">
      <c r="A4" s="3" t="n">
        <v>284537</v>
      </c>
      <c r="B4" s="6" t="inlineStr">
        <is>
          <t>Anifit Hunde-Schnupperpaket 810g  | Anifit Nassfutter für Hunde - allergenfreies Hundefutter | ANIFit Starterpaket für den Hund</t>
        </is>
      </c>
      <c r="C4" s="6" t="inlineStr">
        <is>
          <t>Das Hunde-Schnupperpaket 810g von ANIfit ist die ideale Möglichkeit, die Vielfalt &amp; Qualität unseres Nassfutters kennenzulernen. Die wohl gesündeste und artgerechteste Ernährung für Ihren Hund.</t>
        </is>
      </c>
      <c r="D4" s="6" t="inlineStr">
        <is>
          <t>in_stock</t>
        </is>
      </c>
      <c r="E4" s="6" t="inlineStr"/>
      <c r="F4" s="6" t="inlineStr"/>
      <c r="G4" s="8" t="inlineStr">
        <is>
          <t>https://www.fellkost.de/content/partners/466587/shop/shop/article/284537/hunde-schnupperpaket_810g_1_set_mit_verschiedenen_sorten_flocken_testpackungen_</t>
        </is>
      </c>
      <c r="H4" s="6" t="inlineStr"/>
      <c r="I4" s="6" t="inlineStr">
        <is>
          <t>https://www.fellkost.de/static/content/e18829/e18831/e18851/e18852/e114865/image_shop1/ger/Schnupperpaket%20Hunde%20Nassfutter%20ANIfit%20200%20g%201920%20x%20%201920_w960_h960_q90_jpg.jpg</t>
        </is>
      </c>
      <c r="J4" s="7" t="n">
        <v>62.99</v>
      </c>
      <c r="K4" s="6" t="inlineStr"/>
      <c r="L4" s="6" t="inlineStr"/>
      <c r="M4" s="6" t="inlineStr">
        <is>
          <t>no</t>
        </is>
      </c>
      <c r="N4" s="6" t="inlineStr"/>
      <c r="O4" s="6" t="inlineStr"/>
      <c r="P4" s="6" t="inlineStr">
        <is>
          <t>ANIfit</t>
        </is>
      </c>
      <c r="Q4" s="6" t="n"/>
      <c r="R4" s="6" t="inlineStr"/>
      <c r="S4" s="6" t="inlineStr"/>
      <c r="T4" s="6" t="inlineStr">
        <is>
          <t>new</t>
        </is>
      </c>
      <c r="U4" s="6" t="inlineStr">
        <is>
          <t>no</t>
        </is>
      </c>
      <c r="V4" s="6" t="inlineStr"/>
      <c r="W4" s="6" t="inlineStr"/>
      <c r="X4" s="6" t="inlineStr"/>
      <c r="Y4" s="6" t="inlineStr"/>
      <c r="Z4" s="6" t="inlineStr"/>
      <c r="AA4" s="6" t="inlineStr"/>
      <c r="AB4" s="6" t="inlineStr"/>
      <c r="AC4" s="6" t="inlineStr"/>
      <c r="AD4" s="6" t="inlineStr"/>
      <c r="AE4" s="6" t="inlineStr"/>
      <c r="AF4" s="6" t="inlineStr"/>
      <c r="AG4" s="6" t="inlineStr"/>
      <c r="AH4" s="6" t="inlineStr"/>
      <c r="AI4" s="6" t="inlineStr"/>
      <c r="AJ4" s="6" t="inlineStr"/>
      <c r="AK4" s="6" t="inlineStr"/>
      <c r="AL4" s="3" t="n">
        <v>500</v>
      </c>
    </row>
    <row r="5">
      <c r="A5" s="3" t="n">
        <v>165730</v>
      </c>
      <c r="B5" s="6" t="inlineStr">
        <is>
          <t>Anifit Futterumstellungs-Paket 200g für Hunde | Anifit Nassfutter für Hunde</t>
        </is>
      </c>
      <c r="C5" s="6" t="inlineStr">
        <is>
          <t>Das Anifit Futterumstellungspaket 200g enthält eine leicht verdauliche Futtersorte, getreidefreie Beilage ohne Zusätze &amp; Unterstützung für Darmflora &amp; Immunsystem – ideal für eine schonende Umstellung</t>
        </is>
      </c>
      <c r="D5" s="6" t="inlineStr">
        <is>
          <t>in_stock</t>
        </is>
      </c>
      <c r="E5" s="6" t="inlineStr"/>
      <c r="F5" s="6" t="inlineStr"/>
      <c r="G5" s="8" t="inlineStr">
        <is>
          <t>https://www.fellkost.de/content/partners/466587/shop/shop/article/165730/futterumstellungs-paket_200g_1_produktmix_zum_futterwechsel_?category=62183</t>
        </is>
      </c>
      <c r="H5" s="6" t="inlineStr"/>
      <c r="I5" s="6" t="inlineStr">
        <is>
          <t>https://www.fellkost.de/static/content/e18829/e18831/e18851/e18852/e104980/image_shop1/ger/Futterumstellungspaket%20200g-1_w960_h960_q90_jpg.jpg</t>
        </is>
      </c>
      <c r="J5" s="7" t="n">
        <v>78.48999999999999</v>
      </c>
      <c r="K5" s="6" t="inlineStr"/>
      <c r="L5" s="6" t="inlineStr"/>
      <c r="M5" s="6" t="inlineStr">
        <is>
          <t>no</t>
        </is>
      </c>
      <c r="N5" s="6" t="inlineStr"/>
      <c r="O5" s="6" t="inlineStr"/>
      <c r="P5" s="6" t="inlineStr">
        <is>
          <t>ANIfit</t>
        </is>
      </c>
      <c r="Q5" s="6" t="n"/>
      <c r="R5" s="6" t="inlineStr"/>
      <c r="S5" s="6" t="inlineStr"/>
      <c r="T5" s="6" t="inlineStr">
        <is>
          <t>new</t>
        </is>
      </c>
      <c r="U5" s="6" t="inlineStr">
        <is>
          <t>no</t>
        </is>
      </c>
      <c r="V5" s="6" t="inlineStr"/>
      <c r="W5" s="6" t="inlineStr"/>
      <c r="X5" s="6" t="inlineStr"/>
      <c r="Y5" s="6" t="inlineStr"/>
      <c r="Z5" s="6" t="inlineStr"/>
      <c r="AA5" s="6" t="inlineStr"/>
      <c r="AB5" s="6" t="inlineStr"/>
      <c r="AC5" s="6" t="inlineStr"/>
      <c r="AD5" s="6" t="inlineStr"/>
      <c r="AE5" s="6" t="inlineStr"/>
      <c r="AF5" s="6" t="inlineStr"/>
      <c r="AG5" s="6" t="inlineStr"/>
      <c r="AH5" s="6" t="inlineStr"/>
      <c r="AI5" s="6" t="inlineStr"/>
      <c r="AJ5" s="6" t="inlineStr"/>
      <c r="AK5" s="6" t="inlineStr"/>
      <c r="AL5" s="3" t="n">
        <v>500</v>
      </c>
    </row>
    <row r="6">
      <c r="A6" s="3" t="n">
        <v>165810</v>
      </c>
      <c r="B6" s="6" t="inlineStr">
        <is>
          <t>Anifit Futterumstellungs-Paket 400g für Hunde | Anifit Nassfutter für Hunde</t>
        </is>
      </c>
      <c r="C6" s="6" t="inlineStr">
        <is>
          <t>Das Anifit Futterumstellungspaket 400g enthält eine leicht verdauliche Futtersorte, getreidefreie Beilage ohne Zusätze &amp; Unterstützung für Darmflora &amp; Immunsystem – ideal für eine schonende Umstellung</t>
        </is>
      </c>
      <c r="D6" s="6" t="inlineStr">
        <is>
          <t>in_stock</t>
        </is>
      </c>
      <c r="E6" s="6" t="inlineStr"/>
      <c r="F6" s="6" t="inlineStr"/>
      <c r="G6" s="8" t="inlineStr">
        <is>
          <t>https://www.fellkost.de/content/partners/466587/shop/shop/article/165810/futterumstellungs-paket_400g_1_produktmix_zum_futterwechsel_</t>
        </is>
      </c>
      <c r="H6" s="6" t="inlineStr"/>
      <c r="I6" s="6" t="inlineStr">
        <is>
          <t>https://www.fellkost.de/static/content/e18829/e18831/e18851/e18852/e104983/image_shop1/ger/Futterumstellungspaket%20400g_1_w960_h960_q90_jpg.jpg</t>
        </is>
      </c>
      <c r="J6" s="7" t="n">
        <v>89.98999999999999</v>
      </c>
      <c r="K6" s="6" t="inlineStr"/>
      <c r="L6" s="6" t="inlineStr"/>
      <c r="M6" s="6" t="inlineStr">
        <is>
          <t>no</t>
        </is>
      </c>
      <c r="N6" s="6" t="inlineStr"/>
      <c r="O6" s="6" t="inlineStr"/>
      <c r="P6" s="6" t="inlineStr">
        <is>
          <t>ANIfit</t>
        </is>
      </c>
      <c r="Q6" s="6" t="n"/>
      <c r="R6" s="6" t="inlineStr"/>
      <c r="S6" s="6" t="inlineStr"/>
      <c r="T6" s="6" t="inlineStr">
        <is>
          <t>new</t>
        </is>
      </c>
      <c r="U6" s="6" t="inlineStr">
        <is>
          <t>no</t>
        </is>
      </c>
      <c r="V6" s="6" t="inlineStr"/>
      <c r="W6" s="6" t="inlineStr"/>
      <c r="X6" s="6" t="inlineStr"/>
      <c r="Y6" s="6" t="inlineStr"/>
      <c r="Z6" s="6" t="inlineStr"/>
      <c r="AA6" s="6" t="inlineStr"/>
      <c r="AB6" s="6" t="inlineStr"/>
      <c r="AC6" s="6" t="inlineStr"/>
      <c r="AD6" s="6" t="inlineStr"/>
      <c r="AE6" s="6" t="inlineStr"/>
      <c r="AF6" s="6" t="inlineStr"/>
      <c r="AG6" s="6" t="inlineStr"/>
      <c r="AH6" s="6" t="inlineStr"/>
      <c r="AI6" s="6" t="inlineStr"/>
      <c r="AJ6" s="6" t="inlineStr"/>
      <c r="AK6" s="6" t="inlineStr"/>
      <c r="AL6" s="3" t="n">
        <v>500</v>
      </c>
    </row>
    <row r="7">
      <c r="A7" s="3" t="n">
        <v>165927</v>
      </c>
      <c r="B7" s="6" t="inlineStr">
        <is>
          <t>Anifit Futterumstellungs-Paket 810g für Hunde | Anifit Nassfutter für Hunde</t>
        </is>
      </c>
      <c r="C7" s="6" t="inlineStr">
        <is>
          <t>Das Anifit Futterumstellungspaket 810g enthält eine leicht verdauliche Futtersorte, getreidefreie Beilage ohne Zusätze &amp; Unterstützung für Darmflora &amp; Immunsystem – ideal für eine schonende Umstellung</t>
        </is>
      </c>
      <c r="D7" s="6" t="inlineStr">
        <is>
          <t>in_stock</t>
        </is>
      </c>
      <c r="E7" s="6" t="inlineStr"/>
      <c r="F7" s="6" t="inlineStr"/>
      <c r="G7" s="8" t="inlineStr">
        <is>
          <t>https://www.fellkost.de/content/partners/466587/shop/shop/article/165927/futterumstellungs-paket_810g_1_produktmix_zum_futterwechsel_</t>
        </is>
      </c>
      <c r="H7" s="6" t="inlineStr"/>
      <c r="I7" s="6" t="inlineStr">
        <is>
          <t>https://www.fellkost.de/static/content/e18829/e18831/e18851/e18852/e105016/image_shop1/ger/Futterumstellungspaket%20810g_1_w480_h480_q90_jpg.jpg</t>
        </is>
      </c>
      <c r="J7" s="7" t="n">
        <v>114.99</v>
      </c>
      <c r="K7" s="6" t="inlineStr"/>
      <c r="L7" s="6" t="inlineStr"/>
      <c r="M7" s="6" t="inlineStr">
        <is>
          <t>no</t>
        </is>
      </c>
      <c r="N7" s="6" t="inlineStr"/>
      <c r="O7" s="6" t="inlineStr"/>
      <c r="P7" s="6" t="inlineStr">
        <is>
          <t>ANIfit</t>
        </is>
      </c>
      <c r="Q7" s="6" t="n"/>
      <c r="R7" s="6" t="inlineStr"/>
      <c r="S7" s="6" t="inlineStr"/>
      <c r="T7" s="6" t="inlineStr">
        <is>
          <t>new</t>
        </is>
      </c>
      <c r="U7" s="6" t="inlineStr">
        <is>
          <t>no</t>
        </is>
      </c>
      <c r="V7" s="6" t="inlineStr"/>
      <c r="W7" s="6" t="inlineStr"/>
      <c r="X7" s="6" t="inlineStr"/>
      <c r="Y7" s="6" t="inlineStr"/>
      <c r="Z7" s="6" t="inlineStr"/>
      <c r="AA7" s="6" t="inlineStr"/>
      <c r="AB7" s="6" t="inlineStr"/>
      <c r="AC7" s="6" t="inlineStr"/>
      <c r="AD7" s="6" t="inlineStr"/>
      <c r="AE7" s="6" t="inlineStr"/>
      <c r="AF7" s="6" t="inlineStr"/>
      <c r="AG7" s="6" t="inlineStr"/>
      <c r="AH7" s="6" t="inlineStr"/>
      <c r="AI7" s="6" t="inlineStr"/>
      <c r="AJ7" s="6" t="inlineStr"/>
      <c r="AK7" s="6" t="inlineStr"/>
      <c r="AL7" s="3" t="n">
        <v>500</v>
      </c>
    </row>
    <row r="8">
      <c r="A8" s="3" t="n">
        <v>404720</v>
      </c>
      <c r="B8" s="6" t="inlineStr">
        <is>
          <t>6x Anifit BIO Moby Dick mit Lachs / Reis / Karotte in 200gr Dose | Anifit Nassfutter für Hunde</t>
        </is>
      </c>
      <c r="C8" s="6" t="inlineStr">
        <is>
          <t>Bio Moby Dick von Anifit ist ein Nassfutter mit 90 % nachhaltigem Lachs. Es liefert leicht verdauliche Proteine, Omega-3-Fettsäuren &amp; wichtige Nährstoffe – aus ökologischer Erzeugung in 200 gr. Dose</t>
        </is>
      </c>
      <c r="D8" s="6" t="inlineStr">
        <is>
          <t>in_stock</t>
        </is>
      </c>
      <c r="E8" s="6" t="inlineStr"/>
      <c r="F8" s="6" t="inlineStr"/>
      <c r="G8" s="8" t="inlineStr">
        <is>
          <t>https://www.fellkost.de/content/partners/466587/shop/shop/article/404720/bio_moby_dick_200g_6_stueck_?category=62183</t>
        </is>
      </c>
      <c r="H8" s="6" t="inlineStr"/>
      <c r="I8" s="6" t="inlineStr">
        <is>
          <t>https://www.fellkost.de/static/content/e18829/e18831/e18851/e18852/e217904/image_shop1/ger/Hunde%20Nassfutter%20Moby%20Dick%20Bio%20200%20g%201920%20x%201920_w480_h480_q90_jpg.jpg</t>
        </is>
      </c>
      <c r="J8" s="7" t="n">
        <v>24.49</v>
      </c>
      <c r="K8" s="6" t="inlineStr"/>
      <c r="L8" s="6" t="inlineStr"/>
      <c r="M8" s="6" t="inlineStr">
        <is>
          <t>no</t>
        </is>
      </c>
      <c r="N8" s="6" t="inlineStr"/>
      <c r="O8" s="6" t="inlineStr"/>
      <c r="P8" s="6" t="inlineStr">
        <is>
          <t>ANIfit</t>
        </is>
      </c>
      <c r="Q8" s="6" t="n"/>
      <c r="R8" s="6" t="inlineStr"/>
      <c r="S8" s="6" t="inlineStr"/>
      <c r="T8" s="6" t="inlineStr">
        <is>
          <t>new</t>
        </is>
      </c>
      <c r="U8" s="6" t="inlineStr">
        <is>
          <t>no</t>
        </is>
      </c>
      <c r="V8" s="6" t="inlineStr"/>
      <c r="W8" s="6" t="inlineStr"/>
      <c r="X8" s="6" t="inlineStr"/>
      <c r="Y8" s="6" t="inlineStr"/>
      <c r="Z8" s="6" t="inlineStr"/>
      <c r="AA8" s="6" t="inlineStr"/>
      <c r="AB8" s="6" t="inlineStr"/>
      <c r="AC8" s="6" t="inlineStr"/>
      <c r="AD8" s="6" t="inlineStr"/>
      <c r="AE8" s="6" t="inlineStr"/>
      <c r="AF8" s="6" t="inlineStr"/>
      <c r="AG8" s="6" t="inlineStr"/>
      <c r="AH8" s="6" t="inlineStr"/>
      <c r="AI8" s="6" t="inlineStr"/>
      <c r="AJ8" s="6" t="inlineStr"/>
      <c r="AK8" s="6" t="inlineStr"/>
      <c r="AL8" s="3" t="n">
        <v>500</v>
      </c>
    </row>
    <row r="9">
      <c r="A9" s="3" t="n">
        <v>404802</v>
      </c>
      <c r="B9" s="6" t="inlineStr">
        <is>
          <t>6x Anifit BIO Moby Dick mit Lachs / Reis / Karotte in 400gr Dose | Anifit Nassfutter für Hunde</t>
        </is>
      </c>
      <c r="C9" s="6" t="inlineStr">
        <is>
          <t>Bio Moby Dick von Anifit ist ein Nassfutter mit 90 % nachhaltigem Lachs. Es liefert leicht verdauliche Proteine, Omega-3-Fettsäuren &amp; wichtige Nährstoffe – aus ökologischer Erzeugung in 400 gr. Dose</t>
        </is>
      </c>
      <c r="D9" s="6" t="inlineStr">
        <is>
          <t>in_stock</t>
        </is>
      </c>
      <c r="E9" s="6" t="inlineStr"/>
      <c r="F9" s="6" t="inlineStr"/>
      <c r="G9" s="8" t="inlineStr">
        <is>
          <t>https://www.fellkost.de/content/partners/466587/shop/shop/article/404802/bio_moby_dick_400g_6_stueck_</t>
        </is>
      </c>
      <c r="H9" s="6" t="inlineStr"/>
      <c r="I9" s="6" t="inlineStr">
        <is>
          <t>https://www.fellkost.de/static/content/e18829/e18831/e18851/e18852/e217905/image_shop1/ger/Hunde%20Nassfutter%20Moby%20Dick%20Bio%20400%20g%201920%20x%201920_w480_h480_q90_jpg.jpg</t>
        </is>
      </c>
      <c r="J9" s="7" t="n">
        <v>32.49</v>
      </c>
      <c r="K9" s="6" t="inlineStr"/>
      <c r="L9" s="6" t="inlineStr"/>
      <c r="M9" s="6" t="inlineStr">
        <is>
          <t>no</t>
        </is>
      </c>
      <c r="N9" s="6" t="inlineStr"/>
      <c r="O9" s="6" t="inlineStr"/>
      <c r="P9" s="6" t="inlineStr">
        <is>
          <t>ANIfit</t>
        </is>
      </c>
      <c r="Q9" s="6" t="n"/>
      <c r="R9" s="6" t="inlineStr"/>
      <c r="S9" s="6" t="inlineStr"/>
      <c r="T9" s="6" t="inlineStr">
        <is>
          <t>new</t>
        </is>
      </c>
      <c r="U9" s="6" t="inlineStr">
        <is>
          <t>no</t>
        </is>
      </c>
      <c r="V9" s="6" t="inlineStr"/>
      <c r="W9" s="6" t="inlineStr"/>
      <c r="X9" s="6" t="inlineStr"/>
      <c r="Y9" s="6" t="inlineStr"/>
      <c r="Z9" s="6" t="inlineStr"/>
      <c r="AA9" s="6" t="inlineStr"/>
      <c r="AB9" s="6" t="inlineStr"/>
      <c r="AC9" s="6" t="inlineStr"/>
      <c r="AD9" s="6" t="inlineStr"/>
      <c r="AE9" s="6" t="inlineStr"/>
      <c r="AF9" s="6" t="inlineStr"/>
      <c r="AG9" s="6" t="inlineStr"/>
      <c r="AH9" s="6" t="inlineStr"/>
      <c r="AI9" s="6" t="inlineStr"/>
      <c r="AJ9" s="6" t="inlineStr"/>
      <c r="AK9" s="6" t="inlineStr"/>
      <c r="AL9" s="3" t="n">
        <v>500</v>
      </c>
    </row>
    <row r="10">
      <c r="A10" s="3" t="n">
        <v>404884</v>
      </c>
      <c r="B10" s="6" t="inlineStr">
        <is>
          <t>6x Anifit BIO Moby Dick mit Lachs / Reis / Karotte in 810gr Dose | Anifit Nassfutter für Hunde</t>
        </is>
      </c>
      <c r="C10" s="6" t="inlineStr">
        <is>
          <t>Bio Moby Dick von Anifit ist ein Nassfutter mit 90 % nachhaltigem Lachs. Es liefert leicht verdauliche Proteine, Omega-3-Fettsäuren &amp; wichtige Nährstoffe – aus ökologischer Erzeugung in 810 gr. Dose</t>
        </is>
      </c>
      <c r="D10" s="6" t="inlineStr">
        <is>
          <t>in_stock</t>
        </is>
      </c>
      <c r="E10" s="6" t="inlineStr"/>
      <c r="F10" s="6" t="inlineStr"/>
      <c r="G10" s="8" t="inlineStr">
        <is>
          <t>https://www.fellkost.de/content/partners/466587/shop/shop/article/404884/bio_moby_dick_800g_6_stueck_</t>
        </is>
      </c>
      <c r="H10" s="6" t="inlineStr"/>
      <c r="I10" s="6" t="inlineStr">
        <is>
          <t>https://www.fellkost.de/static/content/e18829/e18831/e18851/e18852/e217906/image_shop1/ger/Hunde%20Nassfutter%20Moby%20Dick%20Bio%20810%20g%201920%20x%201920_w480_h480_q90_jpg.jpg</t>
        </is>
      </c>
      <c r="J10" s="7" t="n">
        <v>44.49</v>
      </c>
      <c r="K10" s="6" t="inlineStr"/>
      <c r="L10" s="6" t="inlineStr"/>
      <c r="M10" s="6" t="inlineStr">
        <is>
          <t>no</t>
        </is>
      </c>
      <c r="N10" s="6" t="inlineStr"/>
      <c r="O10" s="6" t="inlineStr"/>
      <c r="P10" s="6" t="inlineStr">
        <is>
          <t>ANIfit</t>
        </is>
      </c>
      <c r="Q10" s="6" t="n"/>
      <c r="R10" s="6" t="inlineStr"/>
      <c r="S10" s="6" t="inlineStr"/>
      <c r="T10" s="6" t="inlineStr">
        <is>
          <t>new</t>
        </is>
      </c>
      <c r="U10" s="6" t="inlineStr">
        <is>
          <t>no</t>
        </is>
      </c>
      <c r="V10" s="6" t="inlineStr"/>
      <c r="W10" s="6" t="inlineStr"/>
      <c r="X10" s="6" t="inlineStr"/>
      <c r="Y10" s="6" t="inlineStr"/>
      <c r="Z10" s="6" t="inlineStr"/>
      <c r="AA10" s="6" t="inlineStr"/>
      <c r="AB10" s="6" t="inlineStr"/>
      <c r="AC10" s="6" t="inlineStr"/>
      <c r="AD10" s="6" t="inlineStr"/>
      <c r="AE10" s="6" t="inlineStr"/>
      <c r="AF10" s="6" t="inlineStr"/>
      <c r="AG10" s="6" t="inlineStr"/>
      <c r="AH10" s="6" t="inlineStr"/>
      <c r="AI10" s="6" t="inlineStr"/>
      <c r="AJ10" s="6" t="inlineStr"/>
      <c r="AK10" s="6" t="inlineStr"/>
      <c r="AL10" s="3" t="n">
        <v>500</v>
      </c>
    </row>
    <row r="11">
      <c r="A11" s="3" t="n">
        <v>328285</v>
      </c>
      <c r="B11" s="6" t="inlineStr">
        <is>
          <t>6x Anifit Junior Nassfutter in 200gr. Dose – Hochwertige Ernährung für Welpen mit 94 % Rindfleisch | Anifit Nassfutter für Hunde</t>
        </is>
      </c>
      <c r="C11" s="6" t="inlineStr">
        <is>
          <t>Anifit Junior Nassfutter: 94 % Rind (Muskelfleisch, Lunge, Milz, Leber), ergänzt mit Lachsöl, Reis und wichtigen Mineralien. Speziell für Welpen entwickelt, unterstützt es gesundes Wachstum und Entwicklung.</t>
        </is>
      </c>
      <c r="D11" s="6" t="inlineStr">
        <is>
          <t>in_stock</t>
        </is>
      </c>
      <c r="E11" s="6" t="inlineStr"/>
      <c r="F11" s="6" t="inlineStr"/>
      <c r="G11" s="8" t="inlineStr">
        <is>
          <t>https://www.fellkost.de/content/partners/466587/shop/shop/article/328285/junior_200g_6_stueck_?category=62183</t>
        </is>
      </c>
      <c r="H11" s="6" t="inlineStr"/>
      <c r="I11" s="6" t="inlineStr">
        <is>
          <t>https://www.fellkost.de/static/content/e18829/e18831/e18851/e18852/e144653/image_shop1/ger/Junior%20200%20g%201920%20x%201920_w480_h480_q90_jpg.jpg</t>
        </is>
      </c>
      <c r="J11" s="7" t="n">
        <v>22.49</v>
      </c>
      <c r="K11" s="6" t="inlineStr"/>
      <c r="L11" s="6" t="inlineStr"/>
      <c r="M11" s="6" t="inlineStr">
        <is>
          <t>no</t>
        </is>
      </c>
      <c r="N11" s="6" t="inlineStr"/>
      <c r="O11" s="6" t="inlineStr"/>
      <c r="P11" s="6" t="inlineStr">
        <is>
          <t>ANIfit</t>
        </is>
      </c>
      <c r="Q11" s="6" t="n"/>
      <c r="R11" s="6" t="inlineStr"/>
      <c r="S11" s="6" t="inlineStr"/>
      <c r="T11" s="6" t="inlineStr">
        <is>
          <t>new</t>
        </is>
      </c>
      <c r="U11" s="6" t="inlineStr">
        <is>
          <t>no</t>
        </is>
      </c>
      <c r="V11" s="6" t="inlineStr"/>
      <c r="W11" s="6" t="inlineStr"/>
      <c r="X11" s="6" t="inlineStr"/>
      <c r="Y11" s="6" t="inlineStr"/>
      <c r="Z11" s="6" t="inlineStr"/>
      <c r="AA11" s="6" t="inlineStr"/>
      <c r="AB11" s="6" t="inlineStr"/>
      <c r="AC11" s="6" t="inlineStr"/>
      <c r="AD11" s="6" t="inlineStr"/>
      <c r="AE11" s="6" t="inlineStr"/>
      <c r="AF11" s="6" t="inlineStr"/>
      <c r="AG11" s="6" t="inlineStr"/>
      <c r="AH11" s="6" t="inlineStr"/>
      <c r="AI11" s="6" t="inlineStr"/>
      <c r="AJ11" s="6" t="inlineStr"/>
      <c r="AK11" s="6" t="inlineStr"/>
      <c r="AL11" s="3" t="n">
        <v>500</v>
      </c>
    </row>
    <row r="12">
      <c r="A12" s="3" t="n">
        <v>308559</v>
      </c>
      <c r="B12" s="6" t="inlineStr">
        <is>
          <t>6x Anifit Junior Nassfutter in 400gr. Dose – Hochwertige Ernährung für Welpen mit 94 % Rindfleisch | Anifit Nassfutter für Hunde</t>
        </is>
      </c>
      <c r="C12" s="6" t="inlineStr">
        <is>
          <t>Anifit Junior Nassfutter: 94 % Rind (Muskelfleisch, Lunge, Milz, Leber), ergänzt mit Lachsöl, Reis und wichtigen Mineralien. Speziell für Welpen entwickelt, unterstützt es gesundes Wachstum und Entwicklung.</t>
        </is>
      </c>
      <c r="D12" s="6" t="inlineStr">
        <is>
          <t>in_stock</t>
        </is>
      </c>
      <c r="E12" s="6" t="inlineStr"/>
      <c r="F12" s="6" t="inlineStr"/>
      <c r="G12" s="8" t="inlineStr">
        <is>
          <t>https://www.fellkost.de/content/partners/466587/shop/shop/article/308559/junior_400g_6_stueck_</t>
        </is>
      </c>
      <c r="H12" s="6" t="inlineStr"/>
      <c r="I12" s="6" t="inlineStr">
        <is>
          <t>https://www.fellkost.de/static/content/e18829/e18831/e18851/e18852/e127775/image_shop1/ger/Hunde%20Nassfutter%20Junior%20400%20g%201920%20x%201920_w480_h480_q90_jpg.jpg</t>
        </is>
      </c>
      <c r="J12" s="7" t="n">
        <v>28.99</v>
      </c>
      <c r="K12" s="6" t="inlineStr"/>
      <c r="L12" s="6" t="inlineStr"/>
      <c r="M12" s="6" t="inlineStr">
        <is>
          <t>no</t>
        </is>
      </c>
      <c r="N12" s="6" t="inlineStr"/>
      <c r="O12" s="6" t="inlineStr"/>
      <c r="P12" s="6" t="inlineStr">
        <is>
          <t>ANIfit</t>
        </is>
      </c>
      <c r="Q12" s="6" t="n"/>
      <c r="R12" s="6" t="inlineStr"/>
      <c r="S12" s="6" t="inlineStr"/>
      <c r="T12" s="6" t="inlineStr">
        <is>
          <t>new</t>
        </is>
      </c>
      <c r="U12" s="6" t="inlineStr">
        <is>
          <t>no</t>
        </is>
      </c>
      <c r="V12" s="6" t="inlineStr"/>
      <c r="W12" s="6" t="inlineStr"/>
      <c r="X12" s="6" t="inlineStr"/>
      <c r="Y12" s="6" t="inlineStr"/>
      <c r="Z12" s="6" t="inlineStr"/>
      <c r="AA12" s="6" t="inlineStr"/>
      <c r="AB12" s="6" t="inlineStr"/>
      <c r="AC12" s="6" t="inlineStr"/>
      <c r="AD12" s="6" t="inlineStr"/>
      <c r="AE12" s="6" t="inlineStr"/>
      <c r="AF12" s="6" t="inlineStr"/>
      <c r="AG12" s="6" t="inlineStr"/>
      <c r="AH12" s="6" t="inlineStr"/>
      <c r="AI12" s="6" t="inlineStr"/>
      <c r="AJ12" s="6" t="inlineStr"/>
      <c r="AK12" s="6" t="inlineStr"/>
      <c r="AL12" s="3" t="n">
        <v>500</v>
      </c>
    </row>
    <row r="13">
      <c r="A13" s="3" t="n">
        <v>307723</v>
      </c>
      <c r="B13" s="6" t="inlineStr">
        <is>
          <t>6x Anifit Junior Nassfutter in 810gr. Dose – Hochwertige Ernährung für Welpen mit 94 % Rindfleisch | Anifit Nassfutter für Hunde</t>
        </is>
      </c>
      <c r="C13" s="6" t="inlineStr">
        <is>
          <t>Anifit Junior Nassfutter: 94 % Rind (Muskelfleisch, Lunge, Milz, Leber), ergänzt mit Lachsöl, Reis und wichtigen Mineralien. Speziell für Welpen entwickelt, unterstützt es gesundes Wachstum und Entwicklung.</t>
        </is>
      </c>
      <c r="D13" s="6" t="inlineStr">
        <is>
          <t>in_stock</t>
        </is>
      </c>
      <c r="E13" s="6" t="inlineStr"/>
      <c r="F13" s="6" t="inlineStr"/>
      <c r="G13" s="8" t="inlineStr">
        <is>
          <t>https://www.fellkost.de/content/partners/466587/shop/shop/article/307723/junior_810g_6_stueck_</t>
        </is>
      </c>
      <c r="H13" s="6" t="inlineStr"/>
      <c r="I13" s="6" t="inlineStr">
        <is>
          <t>https://www.fellkost.de/static/content/e18829/e18831/e18851/e18852/e127169/image_shop1/ger/Hunde%20Nassfutter%20Junior%20810%20g%201920%20x%201920_w480_h480_q90_jpg.jpg</t>
        </is>
      </c>
      <c r="J13" s="7" t="n">
        <v>37.49</v>
      </c>
      <c r="K13" s="6" t="inlineStr"/>
      <c r="L13" s="6" t="inlineStr"/>
      <c r="M13" s="6" t="inlineStr">
        <is>
          <t>no</t>
        </is>
      </c>
      <c r="N13" s="6" t="inlineStr"/>
      <c r="O13" s="6" t="inlineStr"/>
      <c r="P13" s="6" t="inlineStr">
        <is>
          <t>ANIfit</t>
        </is>
      </c>
      <c r="Q13" s="6" t="n"/>
      <c r="R13" s="6" t="inlineStr"/>
      <c r="S13" s="6" t="inlineStr"/>
      <c r="T13" s="6" t="inlineStr">
        <is>
          <t>new</t>
        </is>
      </c>
      <c r="U13" s="6" t="inlineStr">
        <is>
          <t>no</t>
        </is>
      </c>
      <c r="V13" s="6" t="inlineStr"/>
      <c r="W13" s="6" t="inlineStr"/>
      <c r="X13" s="6" t="inlineStr"/>
      <c r="Y13" s="6" t="inlineStr"/>
      <c r="Z13" s="6" t="inlineStr"/>
      <c r="AA13" s="6" t="inlineStr"/>
      <c r="AB13" s="6" t="inlineStr"/>
      <c r="AC13" s="6" t="inlineStr"/>
      <c r="AD13" s="6" t="inlineStr"/>
      <c r="AE13" s="6" t="inlineStr"/>
      <c r="AF13" s="6" t="inlineStr"/>
      <c r="AG13" s="6" t="inlineStr"/>
      <c r="AH13" s="6" t="inlineStr"/>
      <c r="AI13" s="6" t="inlineStr"/>
      <c r="AJ13" s="6" t="inlineStr"/>
      <c r="AK13" s="6" t="inlineStr"/>
      <c r="AL13" s="3" t="n">
        <v>500</v>
      </c>
    </row>
    <row r="14">
      <c r="A14" s="3" t="n">
        <v>11233</v>
      </c>
      <c r="B14" s="6" t="inlineStr">
        <is>
          <t>6xAnifit Witwe Boltes Schrecken in der 200 Gramm Dose – Premium Nassfutter mit Huhn, Rind und Lachs | Anifit Nassfutter für Hunde</t>
        </is>
      </c>
      <c r="C14" s="6" t="inlineStr">
        <is>
          <t>Anifit Witwe Boltes Schrecken ist ein Nassfutter mit 92 % Fleisch und Fisch (Huhn, Rind, Lachs), ergänzt durch Reis, Karotten und Erbsen. Es bietet hochwertige Proteine und Omega-3-Fettsäuren für eine ausgewogene Ernährung.</t>
        </is>
      </c>
      <c r="D14" s="6" t="inlineStr">
        <is>
          <t>in_stock</t>
        </is>
      </c>
      <c r="E14" s="6" t="inlineStr"/>
      <c r="F14" s="6" t="inlineStr"/>
      <c r="G14" s="8" t="inlineStr">
        <is>
          <t>https://www.fellkost.de/content/partners/466587/shop/shop/article/11233/witwe_boltes_schrecken_200g_6_stueck_?category=62183</t>
        </is>
      </c>
      <c r="H14" s="6" t="inlineStr"/>
      <c r="I14" s="6" t="inlineStr">
        <is>
          <t>https://www.fellkost.de/static/content/e18829/e18831/e18851/e18852/e18853/image_shop1/ger/Hunde%20Nassfutter%20Witwe%20Bolte%20200%20g%201920%20x%201920_w480_h480_q90_jpg.jpg</t>
        </is>
      </c>
      <c r="J14" s="7" t="n">
        <v>19.49</v>
      </c>
      <c r="K14" s="6" t="inlineStr"/>
      <c r="L14" s="6" t="inlineStr"/>
      <c r="M14" s="6" t="inlineStr">
        <is>
          <t>no</t>
        </is>
      </c>
      <c r="N14" s="6" t="inlineStr"/>
      <c r="O14" s="6" t="inlineStr"/>
      <c r="P14" s="6" t="inlineStr">
        <is>
          <t>ANIfit</t>
        </is>
      </c>
      <c r="Q14" s="6" t="n"/>
      <c r="R14" s="6" t="inlineStr"/>
      <c r="S14" s="6" t="inlineStr"/>
      <c r="T14" s="6" t="inlineStr">
        <is>
          <t>new</t>
        </is>
      </c>
      <c r="U14" s="6" t="inlineStr">
        <is>
          <t>no</t>
        </is>
      </c>
      <c r="V14" s="6" t="inlineStr"/>
      <c r="W14" s="6" t="inlineStr"/>
      <c r="X14" s="6" t="inlineStr"/>
      <c r="Y14" s="6" t="inlineStr"/>
      <c r="Z14" s="6" t="inlineStr"/>
      <c r="AA14" s="6" t="inlineStr"/>
      <c r="AB14" s="6" t="inlineStr"/>
      <c r="AC14" s="6" t="inlineStr"/>
      <c r="AD14" s="6" t="inlineStr"/>
      <c r="AE14" s="6" t="inlineStr"/>
      <c r="AF14" s="6" t="inlineStr"/>
      <c r="AG14" s="6" t="inlineStr"/>
      <c r="AH14" s="6" t="inlineStr"/>
      <c r="AI14" s="6" t="inlineStr"/>
      <c r="AJ14" s="6" t="inlineStr"/>
      <c r="AK14" s="6" t="inlineStr"/>
      <c r="AL14" s="3" t="n">
        <v>500</v>
      </c>
    </row>
    <row r="15">
      <c r="A15" s="3" t="n">
        <v>11234</v>
      </c>
      <c r="B15" s="6" t="inlineStr">
        <is>
          <t>6xAnifit Witwe Boltes Schrecken in der 400 Gramm Dose – Premium Nassfutter mit Huhn, Rind und Lachs | Anifit Nassfutter für Hunde</t>
        </is>
      </c>
      <c r="C15" s="6" t="inlineStr">
        <is>
          <t>Anifit Witwe Boltes Schrecken ist ein Nassfutter mit 92 % Fleisch und Fisch (Huhn, Rind, Lachs), ergänzt durch Reis, Karotten und Erbsen. Es bietet hochwertige Proteine und Omega-3-Fettsäuren für eine ausgewogene Ernährung.</t>
        </is>
      </c>
      <c r="D15" s="6" t="inlineStr">
        <is>
          <t>in_stock</t>
        </is>
      </c>
      <c r="E15" s="6" t="inlineStr"/>
      <c r="F15" s="6" t="inlineStr"/>
      <c r="G15" s="8" t="inlineStr">
        <is>
          <t>https://www.fellkost.de/content/partners/466587/shop/shop/article/11234/witwe_boltes_schrecken_400g_6_stueck_</t>
        </is>
      </c>
      <c r="H15" s="6" t="inlineStr"/>
      <c r="I15" s="6" t="inlineStr">
        <is>
          <t>https://www.fellkost.de/static/content/e18829/e18831/e18851/e18852/e18854/image_shop1/ger/Hunde%20Nassfutter%20Witwe%20Bolte%20400%20g%201920%20x%201920_w960_h960_q90_jpg.jpg</t>
        </is>
      </c>
      <c r="J15" s="7" t="n">
        <v>25.49</v>
      </c>
      <c r="K15" s="6" t="inlineStr"/>
      <c r="L15" s="6" t="inlineStr"/>
      <c r="M15" s="6" t="inlineStr">
        <is>
          <t>no</t>
        </is>
      </c>
      <c r="N15" s="6" t="inlineStr"/>
      <c r="O15" s="6" t="inlineStr"/>
      <c r="P15" s="6" t="inlineStr">
        <is>
          <t>ANIfit</t>
        </is>
      </c>
      <c r="Q15" s="6" t="n"/>
      <c r="R15" s="6" t="inlineStr"/>
      <c r="S15" s="6" t="inlineStr"/>
      <c r="T15" s="6" t="inlineStr">
        <is>
          <t>new</t>
        </is>
      </c>
      <c r="U15" s="6" t="inlineStr">
        <is>
          <t>no</t>
        </is>
      </c>
      <c r="V15" s="6" t="inlineStr"/>
      <c r="W15" s="6" t="inlineStr"/>
      <c r="X15" s="6" t="inlineStr"/>
      <c r="Y15" s="6" t="inlineStr"/>
      <c r="Z15" s="6" t="inlineStr"/>
      <c r="AA15" s="6" t="inlineStr"/>
      <c r="AB15" s="6" t="inlineStr"/>
      <c r="AC15" s="6" t="inlineStr"/>
      <c r="AD15" s="6" t="inlineStr"/>
      <c r="AE15" s="6" t="inlineStr"/>
      <c r="AF15" s="6" t="inlineStr"/>
      <c r="AG15" s="6" t="inlineStr"/>
      <c r="AH15" s="6" t="inlineStr"/>
      <c r="AI15" s="6" t="inlineStr"/>
      <c r="AJ15" s="6" t="inlineStr"/>
      <c r="AK15" s="6" t="inlineStr"/>
      <c r="AL15" s="3" t="n">
        <v>500</v>
      </c>
    </row>
    <row r="16">
      <c r="A16" s="3" t="n">
        <v>11235</v>
      </c>
      <c r="B16" s="6" t="inlineStr">
        <is>
          <t>6xAnifit Witwe Boltes Schrecken in der 810 Gramm Dose – Premium Nassfutter mit Huhn, Rind und Lachs | Anifit Nassfutter für Hunde</t>
        </is>
      </c>
      <c r="C16" s="6" t="inlineStr">
        <is>
          <t>Anifit Witwe Boltes Schrecken ist ein Nassfutter mit 92 % Fleisch und Fisch (Huhn, Rind, Lachs), ergänzt durch Reis, Karotten und Erbsen. Es bietet hochwertige Proteine und Omega-3-Fettsäuren für eine ausgewogene Ernährung.</t>
        </is>
      </c>
      <c r="D16" s="6" t="inlineStr">
        <is>
          <t>in_stock</t>
        </is>
      </c>
      <c r="E16" s="6" t="inlineStr"/>
      <c r="F16" s="6" t="inlineStr"/>
      <c r="G16" s="8" t="inlineStr">
        <is>
          <t>https://www.fellkost.de/content/partners/466587/shop/shop/article/11235/witwe_boltes_schrecken_810g_6_stueck_</t>
        </is>
      </c>
      <c r="H16" s="6" t="inlineStr"/>
      <c r="I16" s="6" t="inlineStr">
        <is>
          <t>https://www.fellkost.de/static/content/e18829/e18831/e18851/e18852/e18855/image_shop1/ger/Hunde%20Nassfutter%20Witwe%20Bolte%20810%20g%201920%20x%201920_w480_h480_q90_jpg.jpg</t>
        </is>
      </c>
      <c r="J16" s="7" t="n">
        <v>34.49</v>
      </c>
      <c r="K16" s="6" t="inlineStr"/>
      <c r="L16" s="6" t="inlineStr"/>
      <c r="M16" s="6" t="inlineStr">
        <is>
          <t>no</t>
        </is>
      </c>
      <c r="N16" s="6" t="inlineStr"/>
      <c r="O16" s="6" t="inlineStr"/>
      <c r="P16" s="6" t="inlineStr">
        <is>
          <t>ANIfit</t>
        </is>
      </c>
      <c r="Q16" s="6" t="n"/>
      <c r="R16" s="6" t="inlineStr"/>
      <c r="S16" s="6" t="inlineStr"/>
      <c r="T16" s="6" t="inlineStr">
        <is>
          <t>new</t>
        </is>
      </c>
      <c r="U16" s="6" t="inlineStr">
        <is>
          <t>no</t>
        </is>
      </c>
      <c r="V16" s="6" t="inlineStr"/>
      <c r="W16" s="6" t="inlineStr"/>
      <c r="X16" s="6" t="inlineStr"/>
      <c r="Y16" s="6" t="inlineStr"/>
      <c r="Z16" s="6" t="inlineStr"/>
      <c r="AA16" s="6" t="inlineStr"/>
      <c r="AB16" s="6" t="inlineStr"/>
      <c r="AC16" s="6" t="inlineStr"/>
      <c r="AD16" s="6" t="inlineStr"/>
      <c r="AE16" s="6" t="inlineStr"/>
      <c r="AF16" s="6" t="inlineStr"/>
      <c r="AG16" s="6" t="inlineStr"/>
      <c r="AH16" s="6" t="inlineStr"/>
      <c r="AI16" s="6" t="inlineStr"/>
      <c r="AJ16" s="6" t="inlineStr"/>
      <c r="AK16" s="6" t="inlineStr"/>
      <c r="AL16" s="3" t="n">
        <v>500</v>
      </c>
    </row>
    <row r="17">
      <c r="A17" s="3" t="n">
        <v>11237</v>
      </c>
      <c r="B17" s="14" t="inlineStr">
        <is>
          <t>Zum Goldenen Ochsen 200g | Anifit Nassfutter für Hunde</t>
        </is>
      </c>
      <c r="C17" s="13" t="inlineStr">
        <is>
          <t>Zum Goldenen Ochsen ist eine kraftvolle, natürliche Energiequelle. Speziell kombiniert, um die Gesundheit, Kraft und Vitalität des Hundes zu fördern.
Mit einem Fleischanteil von 96 % (Huhn, Rind) versorgt dieses Premium-Nassfutter als Alleinfuttermittel Hunde auf artgerechte Weise. Die ergänzenden Zutaten (4%) Haferflocken, Karotten, Zichorie, Tomatenpulver und Hagebutte geben wichtige Vitamine, Mineralstoffe und Spurenelemente Es bietet alle essenziellen Nährstoffe für ein aktives, gesundes und langes Leben.
Nur die richtigen und wichtigen ZutatenDieses Gericht enthält keine künstlichen Aroma-, Farb- und Konservierungsstoffen sowie Getreide- oder Pflanzenmehle. Bei ANIfit Futter achten wir grundsätzlich darauf, unnötige Zusatzstoffe zu vermeiden. Unsere Philosophie ist es, nur die für den Hund notwendigen Komponenten zu verwenden, die den Nährstoffbedarf als Einzelfuttermittels optimal decken.
Top Ernährung für alle LebensphasenDieses Futter ist die richtige Wahl für Hunde jeden Alters und jeder Rassen.
Hergestellt in Schweden - für höchste QualitätsansprücheBei der Herstellung der ANIfit Hundenahrung steht das Wohl der Tiere im Mittelpunkt. Zum Goldenen Ochsen wird in Schweden hergestellt. Hier ist man weltweit führend, wenn es um strenge Tierschutzgesetze und nachhaltige Landwirtschaft geht.
Fazit
Mit Zum Goldenen Ochsenwird jeder Hund optimal versorgt. Die spezielle Kombination natürlicher Zutaten unterstützt den Körper des Hundes und gibt ihm die Energie, die er für ein aktives, gesundes und glückliches Leben benötigt. Jede Portion steckt voller Nährstoffe und sorgt für ein langanhaltendes Wohlbefinden.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
Zubereitung
Vollkommen ausgewogene Hundenahrung. Servierfertig, vorzugsweise zimmerwarm füttern.</t>
        </is>
      </c>
      <c r="D17" s="6" t="inlineStr">
        <is>
          <t>in_stock</t>
        </is>
      </c>
      <c r="E17" s="6" t="inlineStr"/>
      <c r="F17" s="6" t="inlineStr"/>
      <c r="G17" s="11" t="inlineStr">
        <is>
          <t>https://www.fellkost.de/content/partners/466587/shop/shop/article/11237/zum_goldenen_ochsen_200g_6_stueck_?category=62183</t>
        </is>
      </c>
      <c r="H17" s="6" t="inlineStr"/>
      <c r="I17" s="14" t="inlineStr">
        <is>
          <t>https://www.fellkost.de/static/content/e18829/e18831/e18851/e18852/e18857/image_shop1/ger/Hunde%20Nassfutter%20Zum%20Goldenen%20Ochsen%20200%20g%201920%20x%201920_w480_h480_q90_jpg.jpg</t>
        </is>
      </c>
      <c r="J17" s="7" t="n">
        <v>19.49</v>
      </c>
      <c r="K17" s="6" t="inlineStr"/>
      <c r="L17" s="6" t="inlineStr"/>
      <c r="M17" s="6" t="inlineStr">
        <is>
          <t>no</t>
        </is>
      </c>
      <c r="N17" s="6" t="inlineStr"/>
      <c r="O17" s="6" t="inlineStr"/>
      <c r="P17" s="6" t="inlineStr">
        <is>
          <t>ANIfit</t>
        </is>
      </c>
      <c r="Q17" s="6" t="n"/>
      <c r="R17" s="6" t="inlineStr"/>
      <c r="S17" s="6" t="inlineStr"/>
      <c r="T17" s="6" t="inlineStr">
        <is>
          <t>new</t>
        </is>
      </c>
      <c r="U17" s="6" t="inlineStr">
        <is>
          <t>no</t>
        </is>
      </c>
      <c r="V17" s="6" t="inlineStr"/>
      <c r="W17" s="6" t="inlineStr"/>
      <c r="X17" s="6" t="inlineStr"/>
      <c r="Y17" s="6" t="inlineStr"/>
      <c r="Z17" s="6" t="inlineStr"/>
      <c r="AA17" s="6" t="inlineStr"/>
      <c r="AB17" s="6" t="inlineStr"/>
      <c r="AC17" s="6" t="inlineStr"/>
      <c r="AD17" s="6" t="inlineStr"/>
      <c r="AE17" s="6" t="inlineStr"/>
      <c r="AF17" s="6" t="inlineStr"/>
      <c r="AG17" s="6" t="inlineStr"/>
      <c r="AH17" s="6" t="inlineStr"/>
      <c r="AI17" s="6" t="inlineStr"/>
      <c r="AJ17" s="6" t="inlineStr"/>
      <c r="AK17" s="6" t="inlineStr"/>
      <c r="AL17" s="3" t="n">
        <v>500</v>
      </c>
    </row>
    <row r="18">
      <c r="A18" s="3" t="n">
        <v>11238</v>
      </c>
      <c r="B18" s="14" t="inlineStr">
        <is>
          <t>Zum Goldenen Ochsen 400g | Anifit Nassfutter für Hunde</t>
        </is>
      </c>
      <c r="C18" s="13" t="inlineStr">
        <is>
          <t>Zum Goldenen Ochsen ist eine kraftvolle, natürliche Energiequelle. Speziell kombiniert, um die Gesundheit, Kraft und Vitalität des Hundes zu fördern.
Mit einem Fleischanteil von 96 % (Huhn, Rind) versorgt dieses Premium-Nassfutter als Alleinfuttermittel Hunde auf artgerechte Weise. Die ergänzenden Zutaten (4%) Haferflocken, Karotten, Zichorie, Tomatenpulver und Hagebutte geben wichtige Vitamine, Mineralstoffe und Spurenelemente Es bietet alle essenziellen Nährstoffe für ein aktives, gesundes und langes Leben.
Nur die richtigen und wichtigen ZutatenDieses Gericht enthält keine künstlichen Aroma-, Farb- und Konservierungsstoffen sowie Getreide- oder Pflanzenmehle. Bei ANIfit Futter achten wir grundsätzlich darauf, unnötige Zusatzstoffe zu vermeiden. Unsere Philosophie ist es, nur die für den Hund notwendigen Komponenten zu verwenden, die den Nährstoffbedarf als Einzelfuttermittels optimal decken.
Top Ernährung für alle LebensphasenDieses Futter ist die richtige Wahl für Hunde jeden Alters und jeder Rassen.
Hergestellt in Schweden - für höchste QualitätsansprücheBei der Herstellung der ANIfit Hundenahrung steht das Wohl der Tiere im Mittelpunkt. Zum Goldenen Ochsen wird in Schweden hergestellt. Hier ist man weltweit führend, wenn es um strenge Tierschutzgesetze und nachhaltige Landwirtschaft geht.
Fazit
Mit Zum Goldenen Ochsen wird jeder Hund optimal versorgt. Die spezielle Kombination natürlicher Zutaten unterstützt den Körper des Hundes und gibt ihm die Energie, die er für ein aktives, gesundes und glückliches Leben benötigt. Jede Portion steckt voller Nährstoffe und sorgt für ein langanhaltendes Wohlbefinden.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
Zubereitung
Vollkommen ausgewogene Hundenahrung. Servierfertig, vorzugsweise zimmerwarm füttern.</t>
        </is>
      </c>
      <c r="D18" s="6" t="inlineStr">
        <is>
          <t>in_stock</t>
        </is>
      </c>
      <c r="E18" s="6" t="inlineStr"/>
      <c r="F18" s="6" t="inlineStr"/>
      <c r="G18" s="11" t="inlineStr">
        <is>
          <t>https://www.fellkost.de/content/partners/466587/shop/shop/article/11238/zum_goldenen_ochsen_400g_6_stueck_</t>
        </is>
      </c>
      <c r="H18" s="6" t="inlineStr"/>
      <c r="I18" s="14" t="inlineStr">
        <is>
          <t>https://www.fellkost.de/static/content/e18829/e18831/e18851/e18852/e18858/image_shop1/ger/Hunde%20Nassfutter%20Zum%20Goldenen%20Ochsen%20400%20g%201920%20x%201920_w480_h480_q90_jpg.jpg</t>
        </is>
      </c>
      <c r="J18" s="7" t="n">
        <v>25.49</v>
      </c>
      <c r="K18" s="6" t="inlineStr"/>
      <c r="L18" s="6" t="inlineStr"/>
      <c r="M18" s="6" t="inlineStr">
        <is>
          <t>no</t>
        </is>
      </c>
      <c r="N18" s="6" t="inlineStr"/>
      <c r="O18" s="6" t="inlineStr"/>
      <c r="P18" s="6" t="inlineStr">
        <is>
          <t>ANIfit</t>
        </is>
      </c>
      <c r="Q18" s="6" t="n"/>
      <c r="R18" s="6" t="inlineStr"/>
      <c r="S18" s="6" t="inlineStr"/>
      <c r="T18" s="6" t="inlineStr">
        <is>
          <t>new</t>
        </is>
      </c>
      <c r="U18" s="6" t="inlineStr">
        <is>
          <t>no</t>
        </is>
      </c>
      <c r="V18" s="6" t="inlineStr"/>
      <c r="W18" s="6" t="inlineStr"/>
      <c r="X18" s="6" t="inlineStr"/>
      <c r="Y18" s="6" t="inlineStr"/>
      <c r="Z18" s="6" t="inlineStr"/>
      <c r="AA18" s="6" t="inlineStr"/>
      <c r="AB18" s="6" t="inlineStr"/>
      <c r="AC18" s="6" t="inlineStr"/>
      <c r="AD18" s="6" t="inlineStr"/>
      <c r="AE18" s="6" t="inlineStr"/>
      <c r="AF18" s="6" t="inlineStr"/>
      <c r="AG18" s="6" t="inlineStr"/>
      <c r="AH18" s="6" t="inlineStr"/>
      <c r="AI18" s="6" t="inlineStr"/>
      <c r="AJ18" s="6" t="inlineStr"/>
      <c r="AK18" s="6" t="inlineStr"/>
      <c r="AL18" s="3" t="n">
        <v>500</v>
      </c>
    </row>
    <row r="19">
      <c r="A19" s="3" t="n">
        <v>11240</v>
      </c>
      <c r="B19" s="14" t="inlineStr">
        <is>
          <t>Zum Goldenen Ochsen 810g | Anifit Nassfutter für Hunde</t>
        </is>
      </c>
      <c r="C19" s="13" t="inlineStr">
        <is>
          <t>Zum Goldenen Ochsen ist eine kraftvolle, natürliche Energiequelle. Speziell kombiniert, um die Gesundheit, Kraft und Vitalität des Hundes zu fördern.
Mit einem Fleischanteil von 96 % (Huhn, Rind) versorgt dieses Premium-Nassfutter als Alleinfuttermittel Hunde auf artgerechte Weise. Die ergänzenden Zutaten (4%) Haferflocken, Karotten, Zichorie, Tomatenpulver und Hagebutte geben wichtige Vitamine, Mineralstoffe und Spurenelemente Es bietet alle essenziellen Nährstoffe für ein aktives, gesundes und langes Leben.
Nur die richtigen und wichtigen ZutatenDieses Gericht enthält keine künstlichen Aroma-, Farb- und Konservierungsstoffen sowie Getreide- oder Pflanzenmehle. Bei ANIfit Futter achten wir grundsätzlich darauf, unnötige Zusatzstoffe zu vermeiden. Unsere Philosophie ist es, nur die für den Hund notwendigen Komponenten zu verwenden, die den Nährstoffbedarf als Einzelfuttermittels optimal decken.
Top Ernährung für alle LebensphasenDieses Futter ist die richtige Wahl für Hunde jeden Alters und jeder Rassen.
Hergestellt in Schweden - für höchste QualitätsansprücheBei der Herstellung der ANIfit Hundenahrung steht das Wohl der Tiere im Mittelpunkt. Zum Goldenen Ochsen wird in Schweden hergestellt. Hier ist man weltweit führend, wenn es um strenge Tierschutzgesetze und nachhaltige Landwirtschaft geht.
Fazit
Mit Zum Goldenen Ochsen wird jeder Hund optimal versorgt. Die spezielle Kombination natürlicher Zutaten unterstützt den Körper des Hundes und gibt ihm die Energie, die er für ein aktives, gesundes und glückliches Leben benötigt. Jede Portion steckt voller Nährstoffe und sorgt für ein langanhaltendes Wohlbefinden.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
Zubereitung
Vollkommen ausgewogene Hundenahrung. Servierfertig, vorzugsweise zimmerwarm füttern.</t>
        </is>
      </c>
      <c r="D19" s="6" t="inlineStr">
        <is>
          <t>in_stock</t>
        </is>
      </c>
      <c r="E19" s="6" t="inlineStr"/>
      <c r="F19" s="6" t="inlineStr"/>
      <c r="G19" s="11" t="inlineStr">
        <is>
          <t>https://www.fellkost.de/content/partners/466587/shop/shop/article/11240/zum_goldenen_ochsen_810g_6_stueck_</t>
        </is>
      </c>
      <c r="H19" s="6" t="inlineStr"/>
      <c r="I19" s="14" t="inlineStr">
        <is>
          <t>https://www.fellkost.de/static/content/e18829/e18831/e18851/e18852/e18860/image_shop1/ger/Hunde%20Nassfutter%20zum%20Goldenen%20Ochsen%20810%20g%201920%20x%201920_w480_h480_q90_jpg.jpg</t>
        </is>
      </c>
      <c r="J19" s="7" t="n">
        <v>34.49</v>
      </c>
      <c r="K19" s="6" t="inlineStr"/>
      <c r="L19" s="6" t="inlineStr"/>
      <c r="M19" s="6" t="inlineStr">
        <is>
          <t>no</t>
        </is>
      </c>
      <c r="N19" s="6" t="inlineStr"/>
      <c r="O19" s="6" t="inlineStr"/>
      <c r="P19" s="6" t="inlineStr">
        <is>
          <t>ANIfit</t>
        </is>
      </c>
      <c r="Q19" s="6" t="n"/>
      <c r="R19" s="6" t="inlineStr"/>
      <c r="S19" s="6" t="inlineStr"/>
      <c r="T19" s="6" t="inlineStr">
        <is>
          <t>new</t>
        </is>
      </c>
      <c r="U19" s="6" t="inlineStr">
        <is>
          <t>no</t>
        </is>
      </c>
      <c r="V19" s="6" t="inlineStr"/>
      <c r="W19" s="6" t="inlineStr"/>
      <c r="X19" s="6" t="inlineStr"/>
      <c r="Y19" s="6" t="inlineStr"/>
      <c r="Z19" s="6" t="inlineStr"/>
      <c r="AA19" s="6" t="inlineStr"/>
      <c r="AB19" s="6" t="inlineStr"/>
      <c r="AC19" s="6" t="inlineStr"/>
      <c r="AD19" s="6" t="inlineStr"/>
      <c r="AE19" s="6" t="inlineStr"/>
      <c r="AF19" s="6" t="inlineStr"/>
      <c r="AG19" s="6" t="inlineStr"/>
      <c r="AH19" s="6" t="inlineStr"/>
      <c r="AI19" s="6" t="inlineStr"/>
      <c r="AJ19" s="6" t="inlineStr"/>
      <c r="AK19" s="6" t="inlineStr"/>
      <c r="AL19" s="3" t="n">
        <v>500</v>
      </c>
    </row>
    <row r="20">
      <c r="A20" s="3" t="n">
        <v>404720</v>
      </c>
      <c r="B20" s="14" t="inlineStr">
        <is>
          <t>Surfers Superfood | Anifit Nassfutter für Hunde im Tetra-Pack | 6er Pack</t>
        </is>
      </c>
      <c r="C20" s="14" t="inlineStr">
        <is>
          <t xml:space="preserve"> Angebot zur Produkteinführung: Jetzt 2 Tetra Paks zum Testen statt 6 +++ 
Surfers Superfood bietet eine leckere Kombination aus zartem Hühnermuskelfleisch und nährstoffreichem Schellfisch. Perfekt für eine proteinreiche und ausgewogene Ernährung (Alleinfuttermittel).
Dieses vollwertige Menü enthält außerdem wertvolle Superfoods wie Preiselbeeren und Dill. Dabei unterstützen Preiselbeeren die Gesundheit der Harnwege. Dill ist bekannt für einen postiven Einfluss auf die Verdauung.
Geliefert im umweltfreundlichen Tetra Pak, bietet es nicht nur nachhaltige Frische, sondern auch praktische Vorteile: Es ist stapelbar, wiederverschließbar und damit auch ideal für Reisen.
Zusammensetzung
Hühnermuskelfleisch (63 %): Eine leicht verdauliche, fettarme Eiweißquelle. Unterstützt den Muskelaufbau und die Vitalität.
Schellfisch (23 %): Reich an Omega-3-Fettsäuren, unterstützt die Haut- und Fellgesundheit und liefert essenzielle Mineralstoffe.
Hühnerleber (8 %): Enthält wertvolles Vitamin A, Eisen und Zink. Für das Immunsystem und eine gesunde Blutbildung.
Reis (2 %): Eine sanfte Kohlenhydratquelle, die die Verdauung unterstützt und Energie liefert. Reis ist zudem glutenfrei.
Weitere Anteile (&lt;1 %):
Dill (Superfood): Bekannt für seine beruhigende Wirkung auf den Magen-Darm-Trakt. Wirkt in der Regel entzündungshemmend und kann die Verdauung fördern.
Preiselbeeren (Superfood): Reich an natürliche Antioxidantien. Kann positiven Einfluss auf die Gesundheit der Harnwege haben.
Lachsöl: Reich an Omega-3- und Omega-6-Fettsäuren. Fördert ein glänzendes Fell, gesunde Haut und kann entzündungshemmend wirken.
Inulin: Ein natürliches Präbiotikum. Kann die Stabilität der Darmflora und die Verdauung förderm.
Beta-Glucan: Unterstützt das Immunsystem und kann zur Abwehr von Infektionen beitragen.
Karotten: Liefern Beta-Carotin, das für die Augengesundheit wichtig sein kann.
Kalziumcarbonat &amp; Phosphat: Fördern starke Knochen und Zähne.
Natriumchlorid/Salz: Sorgt für einen ausgeglichenen Elektrolythaushalt.
Warum Surfers Superfood?
Hoher Fleisch- und Fischanteil: 94 % für eine proteinreiche, artgerechte Ernährung.
Mit echten Superfoods: Preiselbeeren und Dill
Omega-3-Power: Fisch und Lachsöl versorgen mit wertvollen Fettsäuren für Haut, Fell und Herzgesundheit.
Leicht verdaulich: Sanfte Zutaten wie Reis und Dill machen dieses Menü besonders bekömmlich.
Natürlich und rein: Frei von künstlichen Zusätzen, Konservierungsmitteln, Farb- und Lockstoffen.
Praktisches Tetra Pak:
Stapelbar – platzsparende Lagerung
Ideal für unterwegs – perfekt für Reisen
Wiederverschließbar – für frischen Genuss bei jeder Fütterung
Fazit
Surfers Superfood kombiniert hochwertiges Hühnchen und Fisch mit wertvollen Superfoods zu einer nährstoffreichen Mahlzeit, die den Hund optimal versorgt. Dank des Tetra Paks bleibt das Futter frisch, ist leicht zu transportieren und besonders praktisch in der Handhabung.
Zubereitung
Servierfertig, vorzugsweise zimmerwarm füttern.
Besonderheiten der ANIfit Gerichte
Vollwertige Frischfleischnahrung mit 90-99 % Fleisch bzw. Fisch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0" s="6" t="inlineStr">
        <is>
          <t>in_stock</t>
        </is>
      </c>
      <c r="E20" s="6" t="inlineStr"/>
      <c r="F20" s="6" t="inlineStr"/>
      <c r="G20" s="11" t="inlineStr">
        <is>
          <t>https://www.fellkost.de/content/partners/466587/shop/shop/article/404720/surfers_superfood_370g_2_stueck_?category=62183</t>
        </is>
      </c>
      <c r="H20" s="6" t="inlineStr"/>
      <c r="I20" s="14" t="inlineStr">
        <is>
          <t>https://www.fellkost.de/static/content/e18829/e18831/e18851/e18852/e217904/image_shop1/ger/Hunde%20Nassfutter%20Tetra%20Pak%20Surfers%20Superfood%20370%20g%201920%20x%201920_w480_h480_q90_jpg.jpg</t>
        </is>
      </c>
      <c r="J20" s="7" t="n">
        <v>25.49</v>
      </c>
      <c r="K20" s="6" t="inlineStr"/>
      <c r="L20" s="6" t="inlineStr"/>
      <c r="M20" s="6" t="inlineStr">
        <is>
          <t>no</t>
        </is>
      </c>
      <c r="N20" s="6" t="inlineStr"/>
      <c r="O20" s="6" t="inlineStr"/>
      <c r="P20" s="6" t="inlineStr">
        <is>
          <t>ANIfit</t>
        </is>
      </c>
      <c r="Q20" s="14" t="n"/>
      <c r="R20" s="6" t="inlineStr"/>
      <c r="S20" s="6" t="inlineStr"/>
      <c r="T20" s="6" t="inlineStr">
        <is>
          <t>new</t>
        </is>
      </c>
      <c r="U20" s="6" t="inlineStr">
        <is>
          <t>no</t>
        </is>
      </c>
      <c r="V20" s="6" t="inlineStr"/>
      <c r="W20" s="6" t="inlineStr"/>
      <c r="X20" s="6" t="inlineStr"/>
      <c r="Y20" s="6" t="inlineStr"/>
      <c r="Z20" s="6" t="inlineStr"/>
      <c r="AA20" s="6" t="inlineStr"/>
      <c r="AB20" s="6" t="inlineStr"/>
      <c r="AC20" s="6" t="inlineStr"/>
      <c r="AD20" s="6" t="inlineStr"/>
      <c r="AE20" s="6" t="inlineStr"/>
      <c r="AF20" s="6" t="inlineStr"/>
      <c r="AG20" s="6" t="inlineStr"/>
      <c r="AH20" s="6" t="inlineStr"/>
      <c r="AI20" s="6" t="inlineStr"/>
      <c r="AJ20" s="6" t="inlineStr"/>
      <c r="AK20" s="6" t="inlineStr"/>
      <c r="AL20" s="3" t="n">
        <v>500</v>
      </c>
    </row>
    <row r="21">
      <c r="A21" s="3" t="n">
        <v>409236</v>
      </c>
      <c r="B21" s="14" t="inlineStr">
        <is>
          <t>Polo Powerkick | Anifit Nassfutter für Hunde mit Rind und Hühnchen - im Tetra-Pack | 6er Pack</t>
        </is>
      </c>
      <c r="C21" s="14" t="inlineStr">
        <is>
          <t>Polo Powerkick ist die schmackhafte Mahlzeit aus hochwertigem Hühnchen und Rind. Ergänzt durch die wertvollen Superfoods Blaubeere und Petersilie. Beide Superfoods sind reich an Antioxidantien, die das Immunsystem stärten
Dieses Alleinfuttermittel versorgt Hunde mit allem, was sie für ein aktives, vitales Leben brauchen.
Dank der praktischen Tetra Pak-Verpackung bleibt das Futter besonders frisch, ist umweltfreundlich, platzsparend stapelbar und ideal für unterwegs.
Zusammensetzung
Hühnermuskelfleisch (36 %): Eine leicht verdauliche Proteinquelle, die den Muskelaufbau und die Vitalität unterstützt.
Rinderlunge (27 %): Fettarm und reich an B-Vitaminen, fördert die Ausdauer und eine gesunde Verdauung.
Rindermuskelfleisch (17 %): Hochwertiges Eiweiß für starke Muskeln und Energie.
Hühnerlunge (7 %): Eine natürliche Quelle für Eisen.
Rinderleber (7 %): Liefert essenzielle Vitamine wie A, B und D sowie wichtige Spurenelemente für das Immunsystem.
Reis (2 %): Sanfte Kohlenhydratquelle, ideal für eine gut verträgliche Energiezufuhr. Glutenfrei.
Weitere Anteile (&lt;1 %):
Blaubeeren (Superfood): Natürliche Antioxidantien, die die Zellen schützen und das Immunsystem stärken.
Petersilie (Superfood): Enthält phenolische Säuren und Flavonoide – beides starke natürliche Antioxidantien mit entzündungshemmenden und zellschützenden Eigenschaften.
Getrocknete Karotten: Liefern Beta-Carotin für die Augengesundheit.
Inulin: Fördert eine gesunde Darmflora und unterstützt die Verdauung.
Beta-Glucan: Stärkt das Immunsystem und kann entzündungshemmend wirken.
Calciumcarbonat &amp; Phosphat: Fördern starke Knochen und Zähne.
Natriumchlorid/Salz: Sorgt für einen ausgeglichenen Elektrolythaushalt. Lachsöl: Reich an Omega-3-Fettsäuren für gesunde Haut, glänzendes Fell und starke Gelenke.
Warum Polo Powerkick?
Hoher Fleischanteil: 94 % garantieren eine proteinreiche und artgerechte Ernährung.
Mit echten Superfoods: Blaubeeren und Petersilie unterstützen das Immunsystem und die Zellgesundheit.
Optimale Energiequelle: Perfekt für aktive Hunde
Leicht verdaulich: Die Kombination aus hochwertigem Fleisch, Reis und Petersilie macht das Futter besonders bekömmlich.
Natürlich und rein: Frei von künstlichen Zusätzen, Konservierungsstoffen, Farb- und Lockstoffen.
Praktisches Tetra Pak:
Stapelbar – platzsparende Lagerung
Ideal für unterwegs – perfekt für Reisen
Wiederverschließbar – für frischen Genuss bei jeder Fütterung
Fazit 
Polo Powerkick ist die perfekte Wahl für Hunde, die eine kräftige, ausgewogene Mahlzeit benötigen. Mit seinem hohen Fleischanteil und wertvollen Superfoods sorgt dieses Nassfutter für Vitalität, Power und besten Geschmack.
Zubereitung
Servierfertig, vorzugsweise zimmerwarm füttern.
Besonderheiten der ANIfit Gerichte
Vollwertige Frischfleischnahrung mit 90-99 % Fleisch bzw. Fisch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1" s="6" t="inlineStr">
        <is>
          <t>in_stock</t>
        </is>
      </c>
      <c r="E21" s="6" t="inlineStr"/>
      <c r="F21" s="6" t="inlineStr"/>
      <c r="G21" s="11" t="inlineStr">
        <is>
          <t>https://www.fellkost.de/content/partners/466587/shop/shop/article/409236/polo_powerkick_370g_2_stueck_?category=62183</t>
        </is>
      </c>
      <c r="H21" s="6" t="inlineStr"/>
      <c r="I21" s="14" t="inlineStr">
        <is>
          <t>https://www.fellkost.de/static/content/e18829/e18831/e18851/e18852/e220253/image_shop1/ger/Hunde%20Nassfutter%20TetraPak%20Polo%20Powerkick%20370%20g%201920%20x%201920_w480_h480_q90_jpg.jpg?checksum=e21795cd78453b53058f744c18d5d3dc203bb7bd</t>
        </is>
      </c>
      <c r="J21" s="7" t="n">
        <v>25.49</v>
      </c>
      <c r="K21" s="6" t="inlineStr"/>
      <c r="L21" s="6" t="inlineStr"/>
      <c r="M21" s="6" t="inlineStr">
        <is>
          <t>no</t>
        </is>
      </c>
      <c r="N21" s="6" t="inlineStr"/>
      <c r="O21" s="6" t="inlineStr"/>
      <c r="P21" s="6" t="inlineStr">
        <is>
          <t>ANIfit</t>
        </is>
      </c>
      <c r="Q21" s="14" t="n"/>
      <c r="R21" s="6" t="inlineStr"/>
      <c r="S21" s="6" t="inlineStr"/>
      <c r="T21" s="6" t="inlineStr">
        <is>
          <t>new</t>
        </is>
      </c>
      <c r="U21" s="6" t="inlineStr">
        <is>
          <t>no</t>
        </is>
      </c>
      <c r="V21" s="6" t="inlineStr"/>
      <c r="W21" s="6" t="inlineStr"/>
      <c r="X21" s="6" t="inlineStr"/>
      <c r="Y21" s="6" t="inlineStr"/>
      <c r="Z21" s="6" t="inlineStr"/>
      <c r="AA21" s="6" t="inlineStr"/>
      <c r="AB21" s="6" t="inlineStr"/>
      <c r="AC21" s="6" t="inlineStr"/>
      <c r="AD21" s="6" t="inlineStr"/>
      <c r="AE21" s="6" t="inlineStr"/>
      <c r="AF21" s="6" t="inlineStr"/>
      <c r="AG21" s="6" t="inlineStr"/>
      <c r="AH21" s="6" t="inlineStr"/>
      <c r="AI21" s="6" t="inlineStr"/>
      <c r="AJ21" s="6" t="inlineStr"/>
      <c r="AK21" s="6" t="inlineStr"/>
      <c r="AL21" s="3" t="n">
        <v>500</v>
      </c>
    </row>
    <row r="22">
      <c r="A22" s="3" t="n">
        <v>11243</v>
      </c>
      <c r="B22" s="14" t="inlineStr">
        <is>
          <t>Falscher Hase 200g | Anifit Nassfutter für Hunde</t>
        </is>
      </c>
      <c r="C22" s="13" t="inlineStr">
        <is>
          <t>Falscher Hase ist das perfekte Nassfutter für Hunde, die sich viel bewegen und immer wieder kurzfristige Energiereserven benötigen (Alleinfuttermittel).
Mit einer sorgfältig ausgewählten Mischung aus Rind-, Hasen- und Hühnerfleisch sowie einer Vielzahl an nährstoffreichen Gemüsesorten bietet dieses Futter eine ideale Balance zwischen Protein, Vitaminen und Energie.
Außerdem wird es sehr leicht verdaut und ist daher auch für empfindliche Hunde besonders gut geeignet.
Die Kraft der Zutaten – Für aktive und sensible Hunde
Hühnermuskelfleisch (25 %)Hühnermuskelfleisch ist eine hochwertige, fettarme Proteinquelle, die leicht verdaulich ist und den Muskelaufbau unterstützt. Es liefert essenzielle Aminosäuren und trägt zu einem gesunden Energiestoffwechsel bei, ideal für aktive Hunde.
Rindermuskelfleisch (18 %)Das kräftige Rindermuskelfleisch ist reich an Eisen, Zink und Selen. So wird das Immunsystem und die Sauerstoffversorgung im Körper unterstützt. Außerdem fördert es Ausdauer und Vitalität.
Hasenmuskelfleisch (15 %)Hasenmuskelfleisch ist besonders mager und enthält hochwertiges Eiweiß. Dank seiner leichten Verdaulichkeit ist es ideal für empfindliche Hunde und liefert dabei wichtige Nährstoffe wie Vitamine der B-Gruppe, die für das Nervensystem und die Energieproduktion wichtig sind.
Rinderlunge (23 %)Rinderlunge ergänzt das Futter mit fettarmen Proteinen und wichtigen B-Vitaminen, die die Blutbildung und den Stoffwechsel unterstützen. Sie ist eine natürliche Energiequelle und schont gleichzeitig die Verdauung.
Rinderleber (13 %)Rinderleber liefert eine Fülle an Vitamin A, das die Sehkraft, das Immunsystem und die Hautgesundheit fördert. Zusätzlich ist sie eine hervorragende Quelle für Eisen und Zink, die zu einem gesunden Stoffwechsel und glänzendem Fell beitragen.
Ergänzende Zutaten – Gemüse und natürliche Nährstoffquellen
Karotten (3 %)Karotten sind reich an Beta-Carotin, das als Antioxidans wirkt und die Gesundheit von Haut, Fell und Augen unterstützt. Sie liefern natürliche Ballaststoffe für eine gesunde Verdauung.
Kartoffel (2 %)Kartoffeln sind eine leicht verdauliche Kohlenhydratquelle, die schnell verfügbare Energie liefert. Sie sind besonders schonend für den Magen-Darm-Trakt und unterstützen eine gleichmäßige Energiebereitstellung.
Anteile &lt; 1 %: Erbsen, Hagebutte, Beta-Glucan und Salz
Erbsen: Eine pflanzliche Proteinquelle, die wertvolle Ballaststoffe liefert und die Verdauung unterstützt.
Hagebutte: Reich an Vitamin C, das das Immunsystem stärkt und entzündungshemmend wirkt.
Beta-Glucan: Ein natürlicher Wirkstoff aus Hefen, der das Immunsystem positiv beeinflusst und die Abwehrkräfte stärkt.
Salz: Für den Elektrolythaushalt und die Unterstützung der Zellfunktionen.
Zusammensetzung und Analytische Bestandteile
Das Futter enthält eine ausgewogene Mischung aus Fleisch und tierischen Nebenerzeugnissen, Gemüse und Mineralstoffen, ergänzt durch wertvolle Hefen.
Protein: Unterstützt den Muskelaufbau und die Geweberegeneration.
Fettgehalt: Liefert Energie für aktive Hunde.
Ballaststoffe: Fördern eine gesunde Verdauung und Darmflora.
Die bedarfsgerechte Zugabe von Vitamin D3 sorgt für starke Knochen und Zähne.
Nur die richtigen und wichtigen Zutaten
Dieses Gericht enthält keine künstlichen Aroma-, Farb- und Konservierungsstoffen sowie Getreide- oder Pflanzenmehle. Bei ANIfit Futter achten wird grundsätzlich darauf, unnötige Zusatzstoffe zu vermeiden. Unsere Philosophie ist es, nur die für den Hund notwendigen Komponenten zu verwenden, die den Nährstoffbedarf als Einzelfuttermittels optimal decken.
Top Ernährung für alle Lebensphasen
Dieses Futter ist die richtige Wahl für Hunde jeden Alters und jeder Rassen.
Hergestellt in Schweden - für höchste Tierwohlansprüche
Bei der Herstellung der ANIfit Hundenahrung steht das Wohl der Tiere im Mittelpunkt. Falscher Hase wird in Schweden hergestellt. Hier ist man weltweit führend, wenn es um strenge Tierschutzgesetze und nachhaltige Landwirtschaft geht.
Fazit
Falscher Hase ist die perfekte Mahlzeit für Hunde, die von einer ausgewogenen Ernährung profitieren möchten. Mit seiner leichten Verdaulichkeit und der Vielzahl an natürlichen Zutaten bietet es aktiven Vierbeinern alles, was sie brauchen, um gesund und vital zu bleiben – jeden Tag.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2" s="6" t="inlineStr">
        <is>
          <t>in_stock</t>
        </is>
      </c>
      <c r="E22" s="6" t="inlineStr"/>
      <c r="F22" s="6" t="inlineStr"/>
      <c r="G22" s="11" t="inlineStr">
        <is>
          <t>https://www.fellkost.de/content/partners/466587/shop/shop/article/11243/falscher_hase_200g_6_stueck_?category=62183</t>
        </is>
      </c>
      <c r="H22" s="6" t="inlineStr"/>
      <c r="I22" s="14" t="inlineStr">
        <is>
          <t>https://www.fellkost.de/static/content/e18829/e18831/e18851/e18852/e18863/image_shop1/ger/Hunde%20Nassfutter%20Falscher%20Hase%20200%20g%201920%20x%201920_w480_h480_q90_jpg.jpg</t>
        </is>
      </c>
      <c r="J22" s="7" t="n">
        <v>19.49</v>
      </c>
      <c r="K22" s="6" t="inlineStr"/>
      <c r="L22" s="6" t="inlineStr"/>
      <c r="M22" s="6" t="inlineStr">
        <is>
          <t>no</t>
        </is>
      </c>
      <c r="N22" s="6" t="inlineStr"/>
      <c r="O22" s="6" t="inlineStr"/>
      <c r="P22" s="6" t="inlineStr">
        <is>
          <t>ANIfit</t>
        </is>
      </c>
      <c r="Q22" s="13" t="n"/>
      <c r="R22" s="6" t="inlineStr"/>
      <c r="S22" s="6" t="inlineStr"/>
      <c r="T22" s="6" t="inlineStr">
        <is>
          <t>new</t>
        </is>
      </c>
      <c r="U22" s="6" t="inlineStr">
        <is>
          <t>no</t>
        </is>
      </c>
      <c r="V22" s="6" t="inlineStr"/>
      <c r="W22" s="6" t="inlineStr"/>
      <c r="X22" s="6" t="inlineStr"/>
      <c r="Y22" s="6" t="inlineStr"/>
      <c r="Z22" s="6" t="inlineStr"/>
      <c r="AA22" s="6" t="inlineStr"/>
      <c r="AB22" s="6" t="inlineStr"/>
      <c r="AC22" s="6" t="inlineStr"/>
      <c r="AD22" s="6" t="inlineStr"/>
      <c r="AE22" s="6" t="inlineStr"/>
      <c r="AF22" s="6" t="inlineStr"/>
      <c r="AG22" s="6" t="inlineStr"/>
      <c r="AH22" s="6" t="inlineStr"/>
      <c r="AI22" s="6" t="inlineStr"/>
      <c r="AJ22" s="6" t="inlineStr"/>
      <c r="AK22" s="6" t="inlineStr"/>
      <c r="AL22" s="3" t="n">
        <v>500</v>
      </c>
    </row>
    <row r="23">
      <c r="A23" s="3" t="n">
        <v>11244</v>
      </c>
      <c r="B23" s="14" t="inlineStr">
        <is>
          <t>Falscher Hase 400g | Anifit Nassfutter für Hunde</t>
        </is>
      </c>
      <c r="C23" s="13" t="inlineStr">
        <is>
          <t>Falscher Hase ist das perfekte Nassfutter für Hunde, die sich viel bewegen und immer wieder kurzfristige Energiereserven benötigen (Alleinfuttermittel).
Mit einer sorgfältig ausgewählten Mischung aus Rind-, Hasen- und Hühnerfleisch sowie einer Vielzahl an nährstoffreichen Gemüsesorten bietet dieses Futter eine ideale Balance zwischen Protein, Vitaminen und Energie.
Außerdem wird es sehr leicht verdaut und ist daher auch für empfindliche Hunde besonders gut geeignet.
Die Kraft der Zutaten – Für aktive und sensible Hunde
Hühnermuskelfleisch (25 %)Hühnermuskelfleisch ist eine hochwertige, fettarme Proteinquelle, die leicht verdaulich ist und den Muskelaufbau unterstützt. Es liefert essenzielle Aminosäuren und trägt zu einem gesunden Energiestoffwechsel bei, ideal für aktive Hunde.
Rindermuskelfleisch (18 %)Das kräftige Rindermuskelfleisch ist reich an Eisen, Zink und Selen. So wird das Immunsystem und die Sauerstoffversorgung im Körper unterstützt. Außerdem fördert es Ausdauer und Vitalität.
Hasenmuskelfleisch (15 %)Hasenmuskelfleisch ist besonders mager und enthält hochwertiges Eiweiß. Dank seiner leichten Verdaulichkeit ist es ideal für empfindliche Hunde und liefert dabei wichtige Nährstoffe wie Vitamine der B-Gruppe, die für das Nervensystem und die Energieproduktion wichtig sind.
Rinderlunge (23 %)Rinderlunge ergänzt das Futter mit fettarmen Proteinen und wichtigen B-Vitaminen, die die Blutbildung und den Stoffwechsel unterstützen. Sie ist eine natürliche Energiequelle und schont gleichzeitig die Verdauung.
Rinderleber (13 %)Rinderleber liefert eine Fülle an Vitamin A, das die Sehkraft, das Immunsystem und die Hautgesundheit fördert. Zusätzlich ist sie eine hervorragende Quelle für Eisen und Zink, die zu einem gesunden Stoffwechsel und glänzendem Fell beitragen.
Ergänzende Zutaten – Gemüse und natürliche Nährstoffquellen
Karotten (3 %)Karotten sind reich an Beta-Carotin, das als Antioxidans wirkt und die Gesundheit von Haut, Fell und Augen unterstützt. Sie liefern natürliche Ballaststoffe für eine gesunde Verdauung.
Kartoffel (2 %)Kartoffeln sind eine leicht verdauliche Kohlenhydratquelle, die schnell verfügbare Energie liefert. Sie sind besonders schonend für den Magen-Darm-Trakt und unterstützen eine gleichmäßige Energiebereitstellung.
Anteile &lt; 1 %: Erbsen, Hagebutte, Beta-Glucan und Salz
Erbsen: Eine pflanzliche Proteinquelle, die wertvolle Ballaststoffe liefert und die Verdauung unterstützt.
Hagebutte: Reich an Vitamin C, das das Immunsystem stärkt und entzündungshemmend wirkt.
Beta-Glucan: Ein natürlicher Wirkstoff aus Hefen, der das Immunsystem positiv beeinflusst und die Abwehrkräfte stärkt.
Salz: Für den Elektrolythaushalt und die Unterstützung der Zellfunktionen.
Zusammensetzung und Analytische Bestandteile
Das Futter enthält eine ausgewogene Mischung aus Fleisch und tierischen Nebenerzeugnissen, Gemüse und Mineralstoffen, ergänzt durch wertvolle Hefen.
Protein: Unterstützt den Muskelaufbau und die Geweberegeneration.
Fettgehalt: Liefert Energie für aktive Hunde.
Ballaststoffe: Fördern eine gesunde Verdauung und Darmflora.
Die bedarfsgerechte Zugabe von Vitamin D3 sorgt für starke Knochen und Zähne.
Nur die richtigen und wichtigen Zutaten
Dieses Gericht enthält keine künstlichen Aroma-, Farb- und Konservierungsstoffen sowie Getreide- oder Pflanzenmehle. Bei ANIfit Futter achten wird grundsätzlich darauf, unnötige Zusatzstoffe zu vermeiden. Unsere Philosophie ist es, nur die für den Hund notwendigen Komponenten zu verwenden, die den Nährstoffbedarf als Einzelfuttermittels optimal decken.
Top Ernährung für alle Lebensphasen
Dieses Futter ist die richtige Wahl für Hunde jeden Alters und jeder Rassen.
Hergestellt in Schweden - für höchste Tierwohlansprüche
Bei der Herstellung der ANIfit Hundenahrung steht das Wohl der Tiere im Mittelpunkt. Falscher Hase wird in Schweden hergestellt. Hier ist man weltweit führend, wenn es um strenge Tierschutzgesetze und nachhaltige Landwirtschaft geht.
Fazit
Falscher Hase ist die perfekte Mahlzeit für Hunde, die von einer ausgewogenen Ernährung profitieren möchten. Mit seiner leichten Verdaulichkeit und der Vielzahl an natürlichen Zutaten bietet es aktiven Vierbeinern alles, was sie brauchen, um gesund und vital zu bleiben – jeden Tag.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3" s="6" t="inlineStr">
        <is>
          <t>in_stock</t>
        </is>
      </c>
      <c r="E23" s="6" t="inlineStr"/>
      <c r="F23" s="6" t="inlineStr"/>
      <c r="G23" s="11" t="inlineStr">
        <is>
          <t>https://www.fellkost.de/content/partners/466587/shop/shop/article/11244/falscher_hase_400g_6_stueck_</t>
        </is>
      </c>
      <c r="H23" s="6" t="inlineStr"/>
      <c r="I23" s="14" t="inlineStr">
        <is>
          <t>https://www.fellkost.de/static/content/e18829/e18831/e18851/e18852/e18864/image_shop1/ger/Hunde%20Nassfutter%20Falscher%20Hase%20400%20g%201920%20x%201920_w480_h480_q90_jpg.jpg</t>
        </is>
      </c>
      <c r="J23" s="7" t="n">
        <v>25.49</v>
      </c>
      <c r="K23" s="6" t="inlineStr"/>
      <c r="L23" s="6" t="inlineStr"/>
      <c r="M23" s="6" t="inlineStr">
        <is>
          <t>no</t>
        </is>
      </c>
      <c r="N23" s="6" t="inlineStr"/>
      <c r="O23" s="6" t="inlineStr"/>
      <c r="P23" s="6" t="inlineStr">
        <is>
          <t>ANIfit</t>
        </is>
      </c>
      <c r="Q23" s="13" t="n"/>
      <c r="R23" s="6" t="inlineStr"/>
      <c r="S23" s="6" t="inlineStr"/>
      <c r="T23" s="6" t="inlineStr">
        <is>
          <t>new</t>
        </is>
      </c>
      <c r="U23" s="6" t="inlineStr">
        <is>
          <t>no</t>
        </is>
      </c>
      <c r="V23" s="6" t="inlineStr"/>
      <c r="W23" s="6" t="inlineStr"/>
      <c r="X23" s="6" t="inlineStr"/>
      <c r="Y23" s="6" t="inlineStr"/>
      <c r="Z23" s="6" t="inlineStr"/>
      <c r="AA23" s="6" t="inlineStr"/>
      <c r="AB23" s="6" t="inlineStr"/>
      <c r="AC23" s="6" t="inlineStr"/>
      <c r="AD23" s="6" t="inlineStr"/>
      <c r="AE23" s="6" t="inlineStr"/>
      <c r="AF23" s="6" t="inlineStr"/>
      <c r="AG23" s="6" t="inlineStr"/>
      <c r="AH23" s="6" t="inlineStr"/>
      <c r="AI23" s="6" t="inlineStr"/>
      <c r="AJ23" s="6" t="inlineStr"/>
      <c r="AK23" s="6" t="inlineStr"/>
      <c r="AL23" s="3" t="n">
        <v>500</v>
      </c>
    </row>
    <row r="24">
      <c r="A24" s="3" t="n">
        <v>11247</v>
      </c>
      <c r="B24" s="14" t="inlineStr">
        <is>
          <t>Falscher Hase 810g | Anifit Nassfutter für Hunde</t>
        </is>
      </c>
      <c r="C24" s="13" t="inlineStr">
        <is>
          <t>Falscher Hase ist das perfekte Nassfutter für Hunde, die sich viel bewegen und immer wieder kurzfristige Energiereserven benötigen (Alleinfuttermittel).
Mit einer sorgfältig ausgewählten Mischung aus Rind-, Hasen- und Hühnerfleisch sowie einer Vielzahl an nährstoffreichen Gemüsesorten bietet dieses Futter eine ideale Balance zwischen Protein, Vitaminen und Energie.
Außerdem wird es sehr leicht verdaut und ist daher auch für empfindliche Hunde besonders gut geeignet.
Die Kraft der Zutaten – Für aktive und sensible Hunde
Hühnermuskelfleisch (25 %)Hühnermuskelfleisch ist eine hochwertige, fettarme Proteinquelle, die leicht verdaulich ist und den Muskelaufbau unterstützt. Es liefert essenzielle Aminosäuren und trägt zu einem gesunden Energiestoffwechsel bei, ideal für aktive Hunde.
Rindermuskelfleisch (18 %)Das kräftige Rindermuskelfleisch ist reich an Eisen, Zink und Selen. So wird das Immunsystem und die Sauerstoffversorgung im Körper unterstützt. Außerdem fördert es Ausdauer und Vitalität.
Hasenmuskelfleisch (15 %)Hasenmuskelfleisch ist besonders mager und enthält hochwertiges Eiweiß. Dank seiner leichten Verdaulichkeit ist es ideal für empfindliche Hunde und liefert dabei wichtige Nährstoffe wie Vitamine der B-Gruppe, die für das Nervensystem und die Energieproduktion wichtig sind.
Rinderlunge (23 %)Rinderlunge ergänzt das Futter mit fettarmen Proteinen und wichtigen B-Vitaminen, die die Blutbildung und den Stoffwechsel unterstützen. Sie ist eine natürliche Energiequelle und schont gleichzeitig die Verdauung.
Rinderleber (13 %)Rinderleber liefert eine Fülle an Vitamin A, das die Sehkraft, das Immunsystem und die Hautgesundheit fördert. Zusätzlich ist sie eine hervorragende Quelle für Eisen und Zink, die zu einem gesunden Stoffwechsel und glänzendem Fell beitragen.
Ergänzende Zutaten – Gemüse und natürliche Nährstoffquellen
Karotten (3 %)Karotten sind reich an Beta-Carotin, das als Antioxidans wirkt und die Gesundheit von Haut, Fell und Augen unterstützt. Sie liefern natürliche Ballaststoffe für eine gesunde Verdauung.
Kartoffel (2 %)Kartoffeln sind eine leicht verdauliche Kohlenhydratquelle, die schnell verfügbare Energie liefert. Sie sind besonders schonend für den Magen-Darm-Trakt und unterstützen eine gleichmäßige Energiebereitstellung.
Anteile &lt; 1 %: Erbsen, Hagebutte, Beta-Glucan und Salz
Erbsen: Eine pflanzliche Proteinquelle, die wertvolle Ballaststoffe liefert und die Verdauung unterstützt.
Hagebutte: Reich an Vitamin C, das das Immunsystem stärkt und entzündungshemmend wirkt.
Beta-Glucan: Ein natürlicher Wirkstoff aus Hefen, der das Immunsystem positiv beeinflusst und die Abwehrkräfte stärkt.
Salz: Für den Elektrolythaushalt und die Unterstützung der Zellfunktionen.
Zusammensetzung und Analytische Bestandteile
Das Futter enthält eine ausgewogene Mischung aus Fleisch und tierischen Nebenerzeugnissen, Gemüse und Mineralstoffen, ergänzt durch wertvolle Hefen.
Protein: Unterstützt den Muskelaufbau und die Geweberegeneration.
Fettgehalt: Liefert Energie für aktive Hunde.
Ballaststoffe: Fördern eine gesunde Verdauung und Darmflora.
Die bedarfsgerechte Zugabe von Vitamin D3 sorgt für starke Knochen und Zähne.
Nur die richtigen und wichtigen Zutaten
Dieses Gericht enthält keine künstlichen Aroma-, Farb- und Konservierungsstoffen sowie Getreide- oder Pflanzenmehle. Bei ANIfit Futter achten wird grundsätzlich darauf, unnötige Zusatzstoffe zu vermeiden. Unsere Philosophie ist es, nur die für den Hund notwendigen Komponenten zu verwenden, die den Nährstoffbedarf als Einzelfuttermittels optimal decken.
Top Ernährung für alle Lebensphasen
Dieses Futter ist die richtige Wahl für Hunde jeden Alters und jeder Rassen.
Hergestellt in Schweden - für höchste Tierwohlansprüche
Bei der Herstellung der ANIfit Hundenahrung steht das Wohl der Tiere im Mittelpunkt. Falscher Hase wird in Schweden hergestellt. Hier ist man weltweit führend, wenn es um strenge Tierschutzgesetze und nachhaltige Landwirtschaft geht.
Fazit
Falscher Hase ist die perfekte Mahlzeit für Hunde, die von einer ausgewogenen Ernährung profitieren möchten. Mit seiner leichten Verdaulichkeit und der Vielzahl an natürlichen Zutaten bietet es aktiven Vierbeinern alles, was sie brauchen, um gesund und vital zu bleiben – jeden Tag.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4" s="6" t="inlineStr">
        <is>
          <t>in_stock</t>
        </is>
      </c>
      <c r="E24" s="6" t="inlineStr"/>
      <c r="F24" s="6" t="inlineStr"/>
      <c r="G24" s="11" t="inlineStr">
        <is>
          <t>https://www.fellkost.de/content/partners/466587/shop/shop/article/11247/falscher_hase_810g_6_stueck_</t>
        </is>
      </c>
      <c r="H24" s="6" t="inlineStr"/>
      <c r="I24" s="14" t="inlineStr">
        <is>
          <t>https://www.fellkost.de/static/content/e18829/e18831/e18851/e18852/e18867/image_shop1/ger/Hunde%20Nassfutter%20Falscher%20Hase%20810%20g%201920%20x%201920_w480_h480_q90_jpg.jpg</t>
        </is>
      </c>
      <c r="J24" s="7" t="n">
        <v>34.49</v>
      </c>
      <c r="K24" s="6" t="inlineStr"/>
      <c r="L24" s="6" t="inlineStr"/>
      <c r="M24" s="6" t="inlineStr">
        <is>
          <t>no</t>
        </is>
      </c>
      <c r="N24" s="6" t="inlineStr"/>
      <c r="O24" s="6" t="inlineStr"/>
      <c r="P24" s="6" t="inlineStr">
        <is>
          <t>ANIfit</t>
        </is>
      </c>
      <c r="Q24" s="13" t="n"/>
      <c r="R24" s="6" t="inlineStr"/>
      <c r="S24" s="6" t="inlineStr"/>
      <c r="T24" s="6" t="inlineStr">
        <is>
          <t>new</t>
        </is>
      </c>
      <c r="U24" s="6" t="inlineStr">
        <is>
          <t>no</t>
        </is>
      </c>
      <c r="V24" s="6" t="inlineStr"/>
      <c r="W24" s="6" t="inlineStr"/>
      <c r="X24" s="6" t="inlineStr"/>
      <c r="Y24" s="6" t="inlineStr"/>
      <c r="Z24" s="6" t="inlineStr"/>
      <c r="AA24" s="6" t="inlineStr"/>
      <c r="AB24" s="6" t="inlineStr"/>
      <c r="AC24" s="6" t="inlineStr"/>
      <c r="AD24" s="6" t="inlineStr"/>
      <c r="AE24" s="6" t="inlineStr"/>
      <c r="AF24" s="6" t="inlineStr"/>
      <c r="AG24" s="6" t="inlineStr"/>
      <c r="AH24" s="6" t="inlineStr"/>
      <c r="AI24" s="6" t="inlineStr"/>
      <c r="AJ24" s="6" t="inlineStr"/>
      <c r="AK24" s="6" t="inlineStr"/>
      <c r="AL24" s="3" t="n">
        <v>500</v>
      </c>
    </row>
    <row r="25">
      <c r="A25" s="3" t="n">
        <v>11249</v>
      </c>
      <c r="B25" s="14" t="inlineStr">
        <is>
          <t>Thanksgiving Day 200g Dosen | Anifit Nassfutter für Hunde</t>
        </is>
      </c>
      <c r="C25" s="13" t="inlineStr">
        <is>
          <t>Mit Thanksgiving Day präsentiert ANIfit eine vollwertige, artgerechte Mahlzeit, die Hunde mit natürlichen Zutaten und einer ausgewogenen Rezeptur verwöhnt.
Dieses Nassfutter (Alleinfuttermittel) kombiniert einen hohen Fleischanteil aus Truthahn, Huhn und Rind von 93 % mit wohltuenden pflanzlichen Zutaten wie Reis und Erbse. Dadurch erhalten Hunde jeden Alters und jeder Rasse eine vollwertige Ernährung.
Zusammensetzung – Natürliche Zutaten für beste Gesundheit
Truthahnmuskelfleisch (32 %): Eine fettarme Eiweißquelle, die leicht verdaulich ist und essenzielle Aminosäuren liefert.
Hühnermuskelfleisch (15 %): Hochwertige Proteine und wichtige Nährstoffe für kräftige Muskeln und Energie.
Rindermuskelfleisch (21 %): Sorgt für eine kräftige Eiweißbasis und wichtige Mineralstoffe wie Eisen und Zink.
Rinderlunge (19 %): Eine fettarme Ergänzung, die leicht verdaulich ist und reich an B-Vitaminen.
Rinderleber (6 %): Ein natürlicher Lieferant von Vitamin A, Eisen und Zink, wichtig für das Immunsystem und die Blutbildung.
Reis (5 %): Leicht verdauliche Kohlenhydrate, ideal für eine ausgewogene Energieversorgung.
Erbsen (1 %): Liefert pflanzliches Protein und unterstützt mit Ballaststoffen eine gesunde Verdauung.
Anteile &lt; 1 %:
Salz: Für den Elektrolythaushalt.
Getrocknete Hagebutte: Natürliche Vitamin-C-Quelle zur Stärkung des Immunsystems.
Beta-Glucan: Fördert die Immunabwehr.
Kalziumcarbonat: Unterstützt die Knochen- und Zahngesundheit.
Tomatenpulver: Antioxidantienreich, unterstützt das Immunsystem und den Zellschutz.
Warum Thanksgiving Day von ANIfit?
Alleinfuttermittel: Deckt den gesamten Nährstoffbedarf deines Hundes und sorgt für eine vollwertige Ernährung.
Hoher Fleischanteil: Mit 93 % Fleisch für eine artgerechte und proteinreiche Mahlzeit.
Premium-Qualität: Hergestellt in Schweden nach den wohl höchsten Tierwohlstandards.
Natürliche Zutaten: Frei von Zucker, Konservierungsstoffen, Füllstoffen und künstlichen Zusätzen.
Gesunde Ergänzungen: Mit Reis, Erbsen und Hagebutte für zusätzliche Nährstoffe und eine leichte Verdauung.
Frei von unnötigen ZusatzstoffenUnsere Philosophie ist es, nur die für den Hund wirklich wichtigen Einzelfuttermittel und Ergänzungen als Zutaten zu verwenden, die den Nährstoffbedarf als Alleinfutter optimal decken.
Diese Mahlzeit enthält ganz bewusst keine künstlichen Aroma-, Farb- und Konservierungsstoffe sowie Getreide- oder Pflanzenmehle. ANIfit Futter enthält generell keine unnötigen Zusatzstoffe.
Artgerechte Ernährung für jede Lebensphase des HundesDieses Nassfutter ist die richtige Wahl für alle Hunderassen und Altersstufen.
Hergestellt in Schweden – für bestes TierwohlBei der Herstellung der ANIfit Hundenahrung steht das Wohl der Tiere im Mittelpunkt. Thanksgiving Day wird in Schweden hergestellt. Hier ist man weltweit führend, wenn es um strenge Tierschutzgesetze und nachhaltige Landwirtschaft geht.
Fazit
Thanksgiving Day ist die perfekte Wahl für Hunde, die eine ausgewogene, artgerechte Ernährung verdienen. Mit seiner festlichen Rezeptur verwöhnt dieses Nassfutter nicht nur den Gaumen, sondern unterstützt auch die Gesundheit und Vitalität des Hundes – Tag für Tag.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5" s="6" t="inlineStr">
        <is>
          <t>in_stock</t>
        </is>
      </c>
      <c r="E25" s="6" t="inlineStr"/>
      <c r="F25" s="6" t="inlineStr"/>
      <c r="G25" s="11" t="inlineStr">
        <is>
          <t>https://www.fellkost.de/content/partners/466587/shop/shop/article/11249/thanksgiving_day_200g_6_stueck_?category=62183</t>
        </is>
      </c>
      <c r="H25" s="6" t="inlineStr"/>
      <c r="I25" s="14" t="inlineStr">
        <is>
          <t>https://www.fellkost.de/static/content/e18829/e18831/e18851/e18852/e18869/image_shop1/ger/Hunde%20Nassfutter%20Thanksgiving%20Day%20200%20g%201920%20x%201920_w480_h480_q90_jpg.jpg</t>
        </is>
      </c>
      <c r="J25" s="7" t="n">
        <v>19.49</v>
      </c>
      <c r="K25" s="6" t="inlineStr"/>
      <c r="L25" s="6" t="inlineStr"/>
      <c r="M25" s="6" t="inlineStr">
        <is>
          <t>no</t>
        </is>
      </c>
      <c r="N25" s="6" t="inlineStr"/>
      <c r="O25" s="6" t="inlineStr"/>
      <c r="P25" s="6" t="inlineStr">
        <is>
          <t>ANIfit</t>
        </is>
      </c>
      <c r="Q25" s="13" t="n"/>
      <c r="R25" s="6" t="inlineStr"/>
      <c r="S25" s="6" t="inlineStr"/>
      <c r="T25" s="6" t="inlineStr">
        <is>
          <t>new</t>
        </is>
      </c>
      <c r="U25" s="6" t="inlineStr">
        <is>
          <t>no</t>
        </is>
      </c>
      <c r="V25" s="6" t="inlineStr"/>
      <c r="W25" s="6" t="inlineStr"/>
      <c r="X25" s="6" t="inlineStr"/>
      <c r="Y25" s="6" t="inlineStr"/>
      <c r="Z25" s="6" t="inlineStr"/>
      <c r="AA25" s="6" t="inlineStr"/>
      <c r="AB25" s="6" t="inlineStr"/>
      <c r="AC25" s="6" t="inlineStr"/>
      <c r="AD25" s="6" t="inlineStr"/>
      <c r="AE25" s="6" t="inlineStr"/>
      <c r="AF25" s="6" t="inlineStr"/>
      <c r="AG25" s="6" t="inlineStr"/>
      <c r="AH25" s="6" t="inlineStr"/>
      <c r="AI25" s="6" t="inlineStr"/>
      <c r="AJ25" s="6" t="inlineStr"/>
      <c r="AK25" s="6" t="inlineStr"/>
      <c r="AL25" s="3" t="n">
        <v>500</v>
      </c>
    </row>
    <row r="26">
      <c r="A26" s="3" t="n">
        <v>11251</v>
      </c>
      <c r="B26" s="14" t="inlineStr">
        <is>
          <t>Thanksgiving Day 400g Dosen | Anifit Nassfutter für Hunde</t>
        </is>
      </c>
      <c r="C26" s="13" t="inlineStr">
        <is>
          <t>Mit Thanksgiving Day präsentiert ANIfit eine vollwertige, artgerechte Mahlzeit, die Hunde mit natürlichen Zutaten und einer ausgewogenen Rezeptur verwöhnt.
Dieses Nassfutter (Alleinfuttermittel) kombiniert einen hohen Fleischanteil aus Truthahn, Huhn und Rind von 93 % mit wohltuenden pflanzlichen Zutaten wie Reis und Erbse. Dadurch erhalten Hunde jeden Alters und jeder Rasse eine vollwertige Ernährung.
Zusammensetzung – Natürliche Zutaten für beste Gesundheit
Truthahnmuskelfleisch (32 %): Eine fettarme Eiweißquelle, die leicht verdaulich ist und essenzielle Aminosäuren liefert.
Hühnermuskelfleisch (15 %): Hochwertige Proteine und wichtige Nährstoffe für kräftige Muskeln und Energie.
Rindermuskelfleisch (21 %): Sorgt für eine kräftige Eiweißbasis und wichtige Mineralstoffe wie Eisen und Zink.
Rinderlunge (19 %): Eine fettarme Ergänzung, die leicht verdaulich ist und reich an B-Vitaminen.
Rinderleber (6 %): Ein natürlicher Lieferant von Vitamin A, Eisen und Zink, wichtig für das Immunsystem und die Blutbildung.
Reis (5 %): Leicht verdauliche Kohlenhydrate, ideal für eine ausgewogene Energieversorgung.
Erbsen (1 %): Liefert pflanzliches Protein und unterstützt mit Ballaststoffen eine gesunde Verdauung.
Anteile &lt; 1 %:
Salz: Für den Elektrolythaushalt.
Getrocknete Hagebutte: Natürliche Vitamin-C-Quelle zur Stärkung des Immunsystems.
Beta-Glucan: Fördert die Immunabwehr.
Kalziumcarbonat: Unterstützt die Knochen- und Zahngesundheit.
Tomatenpulver: Antioxidantienreich, unterstützt das Immunsystem und den Zellschutz.
Warum Thanksgiving Day von ANIfit?
Alleinfuttermittel: Deckt den gesamten Nährstoffbedarf deines Hundes und sorgt für eine vollwertige Ernährung.
Hoher Fleischanteil: Mit 93 % Fleisch für eine artgerechte und proteinreiche Mahlzeit.
Premium-Qualität: Hergestellt in Schweden nach den wohl höchsten Tierwohlstandards.
Natürliche Zutaten: Frei von Zucker, Konservierungsstoffen, Füllstoffen und künstlichen Zusätzen.
Gesunde Ergänzungen: Mit Reis, Erbsen und Hagebutte für zusätzliche Nährstoffe und eine leichte Verdauung.
Frei von unnötigen ZusatzstoffenUnsere Philosophie ist es, nur die für den Hund wirklich wichtigen Einzelfuttermittel und Ergänzungen als Zutaten zu verwenden, die den Nährstoffbedarf als Alleinfutter optimal decken.
Diese Mahlzeit enthält ganz bewusst keine künstlichen Aroma-, Farb- und Konservierungsstoffe sowie Getreide- oder Pflanzenmehle. ANIfit Futter enthält generell keine unnötigen Zusatzstoffe.
Artgerechte Ernährung für jede Lebensphase des HundesDieses Nassfutter ist die richtige Wahl für alle Hunderassen und Altersstufen.
Hergestellt in Schweden – für bestes TierwohlBei der Herstellung der ANIfit Hundenahrung steht das Wohl der Tiere im Mittelpunkt. Thanksgiving Day wird in Schweden hergestellt. Hier ist man weltweit führend, wenn es um strenge Tierschutzgesetze und nachhaltige Landwirtschaft geht.
Fazit
Thanksgiving Day ist die perfekte Wahl für Hunde, die eine ausgewogene, artgerechte Ernährung verdienen. Mit seiner festlichen Rezeptur verwöhnt dieses Nassfutter nicht nur den Gaumen, sondern unterstützt auch die Gesundheit und Vitalität des Hundes – Tag für Tag.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6" s="6" t="inlineStr">
        <is>
          <t>in_stock</t>
        </is>
      </c>
      <c r="E26" s="6" t="inlineStr"/>
      <c r="F26" s="6" t="inlineStr"/>
      <c r="G26" s="11" t="inlineStr">
        <is>
          <t>https://www.fellkost.de/content/partners/466587/shop/shop/article/11251/thanksgiving_day_400g_6_stueck_</t>
        </is>
      </c>
      <c r="H26" s="6" t="inlineStr"/>
      <c r="I26" s="14" t="inlineStr">
        <is>
          <t>https://www.fellkost.de/static/content/e18829/e18831/e18851/e18852/e18871/image_shop1/ger/Hunde%20Nassfutter%20Thanksgiving%20Day%20400%20g%201920%20x%201920_w480_h480_q90_jpg.jpg</t>
        </is>
      </c>
      <c r="J26" s="7" t="n">
        <v>25.49</v>
      </c>
      <c r="K26" s="6" t="inlineStr"/>
      <c r="L26" s="6" t="inlineStr"/>
      <c r="M26" s="6" t="inlineStr">
        <is>
          <t>no</t>
        </is>
      </c>
      <c r="N26" s="6" t="inlineStr"/>
      <c r="O26" s="6" t="inlineStr"/>
      <c r="P26" s="6" t="inlineStr">
        <is>
          <t>ANIfit</t>
        </is>
      </c>
      <c r="Q26" s="13" t="n"/>
      <c r="R26" s="6" t="inlineStr"/>
      <c r="S26" s="6" t="inlineStr"/>
      <c r="T26" s="6" t="inlineStr">
        <is>
          <t>new</t>
        </is>
      </c>
      <c r="U26" s="6" t="inlineStr">
        <is>
          <t>no</t>
        </is>
      </c>
      <c r="V26" s="6" t="inlineStr"/>
      <c r="W26" s="6" t="inlineStr"/>
      <c r="X26" s="6" t="inlineStr"/>
      <c r="Y26" s="6" t="inlineStr"/>
      <c r="Z26" s="6" t="inlineStr"/>
      <c r="AA26" s="6" t="inlineStr"/>
      <c r="AB26" s="6" t="inlineStr"/>
      <c r="AC26" s="6" t="inlineStr"/>
      <c r="AD26" s="6" t="inlineStr"/>
      <c r="AE26" s="6" t="inlineStr"/>
      <c r="AF26" s="6" t="inlineStr"/>
      <c r="AG26" s="6" t="inlineStr"/>
      <c r="AH26" s="6" t="inlineStr"/>
      <c r="AI26" s="6" t="inlineStr"/>
      <c r="AJ26" s="6" t="inlineStr"/>
      <c r="AK26" s="6" t="inlineStr"/>
      <c r="AL26" s="3" t="n">
        <v>500</v>
      </c>
    </row>
    <row r="27">
      <c r="A27" s="3" t="n">
        <v>11253</v>
      </c>
      <c r="B27" s="14" t="inlineStr">
        <is>
          <t>Thanksgiving Day 810g Dosen | Anifit Nassfutter für Hunde</t>
        </is>
      </c>
      <c r="C27" s="13" t="inlineStr">
        <is>
          <t>Mit Thanksgiving Day präsentiert ANIfit eine vollwertige, artgerechte Mahlzeit, die Hunde mit natürlichen Zutaten und einer ausgewogenen Rezeptur verwöhnt.
Dieses Nassfutter (Alleinfuttermittel) kombiniert einen hohen Fleischanteil aus Truthahn, Huhn und Rind von 93 % mit wohltuenden pflanzlichen Zutaten wie Reis und Erbse. Dadurch erhalten Hunde jeden Alters und jeder Rasse eine vollwertige Ernährung.
Zusammensetzung – Natürliche Zutaten für beste Gesundheit
Truthahnmuskelfleisch (32 %): Eine fettarme Eiweißquelle, die leicht verdaulich ist und essenzielle Aminosäuren liefert.
Hühnermuskelfleisch (15 %): Hochwertige Proteine und wichtige Nährstoffe für kräftige Muskeln und Energie.
Rindermuskelfleisch (21 %): Sorgt für eine kräftige Eiweißbasis und wichtige Mineralstoffe wie Eisen und Zink.
Rinderlunge (19 %): Eine fettarme Ergänzung, die leicht verdaulich ist und reich an B-Vitaminen.
Rinderleber (6 %): Ein natürlicher Lieferant von Vitamin A, Eisen und Zink, wichtig für das Immunsystem und die Blutbildung.
Reis (5 %): Leicht verdauliche Kohlenhydrate, ideal für eine ausgewogene Energieversorgung.
Erbsen (1 %): Liefert pflanzliches Protein und unterstützt mit Ballaststoffen eine gesunde Verdauung.
Anteile &lt; 1 %:
Salz: Für den Elektrolythaushalt.
Getrocknete Hagebutte: Natürliche Vitamin-C-Quelle zur Stärkung des Immunsystems.
Beta-Glucan: Fördert die Immunabwehr.
Kalziumcarbonat: Unterstützt die Knochen- und Zahngesundheit.
Tomatenpulver: Antioxidantienreich, unterstützt das Immunsystem und den Zellschutz.
Warum Thanksgiving Day von ANIfit?
Alleinfuttermittel: Deckt den gesamten Nährstoffbedarf deines Hundes und sorgt für eine vollwertige Ernährung.
Hoher Fleischanteil: Mit 93 % Fleisch für eine artgerechte und proteinreiche Mahlzeit.
Premium-Qualität: Hergestellt in Schweden nach den wohl höchsten Tierwohlstandards.
Natürliche Zutaten: Frei von Zucker, Konservierungsstoffen, Füllstoffen und künstlichen Zusätzen.
Gesunde Ergänzungen: Mit Reis, Erbsen und Hagebutte für zusätzliche Nährstoffe und eine leichte Verdauung.
Frei von unnötigen ZusatzstoffenUnsere Philosophie ist es, nur die für den Hund wirklich wichtigen Einzelfuttermittel und Ergänzungen als Zutaten zu verwenden, die den Nährstoffbedarf als Alleinfutter optimal decken.
Diese Mahlzeit enthält ganz bewusst keine künstlichen Aroma-, Farb- und Konservierungsstoffe sowie Getreide- oder Pflanzenmehle. ANIfit Futter enthält generell keine unnötigen Zusatzstoffe.
Artgerechte Ernährung für jede Lebensphase des HundesDieses Nassfutter ist die richtige Wahl für alle Hunderassen und Altersstufen.
Hergestellt in Schweden – für bestes TierwohlBei der Herstellung der ANIfit Hundenahrung steht das Wohl der Tiere im Mittelpunkt. Thanksgiving Day wird in Schweden hergestellt. Hier ist man weltweit führend, wenn es um strenge Tierschutzgesetze und nachhaltige Landwirtschaft geht.
Fazit
Thanksgiving Day ist die perfekte Wahl für Hunde, die eine ausgewogene, artgerechte Ernährung verdienen. Mit seiner festlichen Rezeptur verwöhnt dieses Nassfutter nicht nur den Gaumen, sondern unterstützt auch die Gesundheit und Vitalität des Hundes – Tag für Tag.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7" s="6" t="inlineStr">
        <is>
          <t>in_stock</t>
        </is>
      </c>
      <c r="E27" s="6" t="inlineStr"/>
      <c r="F27" s="6" t="inlineStr"/>
      <c r="G27" s="11" t="inlineStr">
        <is>
          <t>https://www.fellkost.de/content/partners/466587/shop/shop/article/11253/thanksgiving_day_810g_6_stueck_</t>
        </is>
      </c>
      <c r="H27" s="6" t="inlineStr"/>
      <c r="I27" s="13" t="inlineStr">
        <is>
          <t>https://www.fellkost.de/static/content/e18829/e18831/e18851/e18852/e18873/image_shop1/ger/Hunde%20Nassfutter%20Thanksgiving%20Day%20810%20g%201920%20x%201920_w480_h480_q90_jpg.jpg?checksum=04e96987f91a82aa4416ce5421c0dbf43992febe</t>
        </is>
      </c>
      <c r="J27" s="7" t="n">
        <v>34.49</v>
      </c>
      <c r="K27" s="6" t="inlineStr"/>
      <c r="L27" s="6" t="inlineStr"/>
      <c r="M27" s="6" t="inlineStr">
        <is>
          <t>no</t>
        </is>
      </c>
      <c r="N27" s="6" t="inlineStr"/>
      <c r="O27" s="6" t="inlineStr"/>
      <c r="P27" s="6" t="inlineStr">
        <is>
          <t>ANIfit</t>
        </is>
      </c>
      <c r="Q27" s="13" t="n"/>
      <c r="R27" s="6" t="inlineStr"/>
      <c r="S27" s="6" t="inlineStr"/>
      <c r="T27" s="6" t="inlineStr">
        <is>
          <t>new</t>
        </is>
      </c>
      <c r="U27" s="6" t="inlineStr">
        <is>
          <t>no</t>
        </is>
      </c>
      <c r="V27" s="6" t="inlineStr"/>
      <c r="W27" s="6" t="inlineStr"/>
      <c r="X27" s="6" t="inlineStr"/>
      <c r="Y27" s="6" t="inlineStr"/>
      <c r="Z27" s="6" t="inlineStr"/>
      <c r="AA27" s="6" t="inlineStr"/>
      <c r="AB27" s="6" t="inlineStr"/>
      <c r="AC27" s="6" t="inlineStr"/>
      <c r="AD27" s="6" t="inlineStr"/>
      <c r="AE27" s="6" t="inlineStr"/>
      <c r="AF27" s="6" t="inlineStr"/>
      <c r="AG27" s="6" t="inlineStr"/>
      <c r="AH27" s="6" t="inlineStr"/>
      <c r="AI27" s="6" t="inlineStr"/>
      <c r="AJ27" s="6" t="inlineStr"/>
      <c r="AK27" s="6" t="inlineStr"/>
      <c r="AL27" s="3" t="n">
        <v>500</v>
      </c>
    </row>
    <row r="28">
      <c r="A28" s="3" t="n">
        <v>37786</v>
      </c>
      <c r="B28" s="14" t="inlineStr">
        <is>
          <t>Gockels Duett 200g | Anifit Nassfutter für Hunde</t>
        </is>
      </c>
      <c r="C28" s="13" t="inlineStr">
        <is>
          <t>Gockels Duett von ANIfit ist das ideale Nassfutter für alle Hunde, die eine besonders leichte und bekömmliche Ernährung benötigen.
Mit Huhn als einzigem Fleischanteil (Monoprotein) eignet sich dieses Menü hervorragend für ernährungssensible Hunde oder Tiere mit Unverträglichkeiten.
Der beeindruckende Fleischanteil von 94 % und die Ergänzung durch wertvolle, natürliche Zutaten garantieren eine vollwertige Mahlzeit, die Vitalität und Lebensfreude fördert.
Monoprotein Huhn - leicht verdaulich. Auch für für empfindliche Hunde
Die alleinige Verwendung von Hühnermuskelfleisch und Hühnerleber macht dieses Nassfutter ideal für Ausschlussdiäten oder Hunde mit Allergien gegen andere Fleischsorten. Huhn ist leicht verdaulich und liefert hochwertiges Eiweiß, das den Muskelaufbau unterstützt.
Zusammensetzung – Natürliche Zutaten für eine ausgewogene Ernährung
Hühnermuskelfleisch (77 %): Fettarm, hochverdaulich und reich an essenziellen Aminosäuren.
Hühnerleber (17 %): Natürliche Quelle für Vitamin A, Eisen und Zink, die das Immunsystem und die Blutbildung fördern.
Kartoffel (5 %): Schonende Kohlenhydratquelle für eine sanfte Energiebereitstellung.
Anteile &lt; 1 %:
Zichorie (Inulin): Unterstützt die Darmflora durch präbiotische Eigenschaften.
Dill: Fördert die Verdauung und verleiht dem Futter eine feine aromatische Note.
Hagebutte: Reich an Vitamin C, stärkt die Abwehrkräfte.
Kalzium: Für starke Knochen und Zähne.
Salz: Unterstützt den Elektrolythaushalt.
Eine Mahlzeit, die jeder Hund verdient
Ob Welpe, ausgewachsener Hund oder Senior – Gockels Duett ist für alle Altersklassen und Rassen geeignet. Die ausgewogene Rezeptur bietet eine naturnahe Ernährung, die dem natürlichen Fressverhalten von Hunden entspricht und sie rundum versorgt.
Warum Gockels Duett von ANIfit?
94 % Fleischanteil – Höchste Qualität, die Hunde liebenGockels Duett besteht zu beeindruckenden 94 % aus Huhn, der einzigen Proteinquelle in diesem Nassfutter. Das macht es nicht nur unglaublich schmackhaft, sondern auch besonders verträglich. Huhn liefert leicht verdauliches, hochwertiges Protein, das den Muskelaufbau unterstützt, das Immunsystem stärkt und die Zellerneuerung fördert.
Perfekt für sensible HundeDank des Monoprotein-Konzepts ist dieses Futter ideal für Hunde mit Allergien oder Futtermittelunverträglichkeiten. Der Verzicht auf Getreide, Gluten und künstliche Zusätze schont den Magen-Darm-Trakt und sorgt für eine sanfte Verdauung – damit auch empfindliche Fellnasen glücklich sind.
Natürlich und rein – Frei von unnötigen ZusätzenBei ANIfit wird nur verwendet, was wirklich wichtig ist: Fleisch und Zutaten in Lebensmittelqualität. Gockels Duett enthält keine Konservierungsstoffe, künstlichen Lockstoffe oder Füllstoffe. Stattdessen setzen wir auf die reine Kraft der Natur, ergänzt durch wertvolle Zutaten wie Zichorie, Hagebutte und Dill, die das Wohlbefinden Ihres Hundes fördern.
Gesundheit zum Fressen nahDas Hühnerfleisch in Gockels Duett ist reich an Omega-6-Fettsäuren, die für glänzendes Fell und gesunde Haut sorgen. Der niedrige Fettgehalt ist ideal für Hunde, die zu Übergewicht neigen oder eine fettarme Ernährung benötigen. Zusätzlich unterstützen Glucosamin und Kalzium aus natürlichen Quellen die Knochen- und Gelenkgesundheit.
Alleinfuttermittel: Vollwertig und ausgewogen, deckt den gesamten Nährstoffbedarf des Hundes ab.
Hergestellt in Schweden – für bestes Tierwohl
Bei der Herstellung der ANIfit Hundenahrung steht das Wohl der Tiere im Mittelpunkt. Gockels Duett wird in Schweden hergestellt. Hier ist man weltweit führend, wenn es um strenge Tierschutzgesetze und nachhaltige Landwirtschaft geht.
Fazit
Gockels Duett ist die perfekte Wahl für Hunde, die von einer leichten, proteinreichen und hochverdaulichen Ernährung profitieren möchten. Ob für Allergiker, sensible Hunde oder als abwechslungsreiche, artgerechte Ernährung – dieses Nassfutter überzeugt mit Qualität, Geschmack und gesundheitlichen Vorteilen.
Verwöhnen Sie Ihren Hund mit Gockels Duett von ANIfit – einer Mahlzeit voller Geschmack, Gesundheit und Sorgfalt. Weil Ihr Hund nur das Beste verdient!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8" s="6" t="inlineStr">
        <is>
          <t>in_stock</t>
        </is>
      </c>
      <c r="E28" s="6" t="inlineStr"/>
      <c r="F28" s="6" t="inlineStr"/>
      <c r="G28" s="11" t="inlineStr">
        <is>
          <t>https://www.fellkost.de/content/partners/466587/shop/shop/article/37786/gockels_duett_200g_6_stueck_?category=62183</t>
        </is>
      </c>
      <c r="H28" s="6" t="inlineStr"/>
      <c r="I28" s="13" t="inlineStr">
        <is>
          <t>https://www.fellkost.de/static/content/e18829/e18831/e18851/e18852/e38832/image_shop1/ger/Hunde%20Nassfutter%20Gockels%20Duett%20200%20g%201920%20x%201920_w480_h480_q90_jpg.jpg?checksum=f5240f89b4ffe2c6cfa0bb33dcb556ed40f42f9b</t>
        </is>
      </c>
      <c r="J28" s="7" t="n">
        <v>20.99</v>
      </c>
      <c r="K28" s="6" t="inlineStr"/>
      <c r="L28" s="6" t="inlineStr"/>
      <c r="M28" s="6" t="inlineStr">
        <is>
          <t>no</t>
        </is>
      </c>
      <c r="N28" s="6" t="inlineStr"/>
      <c r="O28" s="6" t="inlineStr"/>
      <c r="P28" s="6" t="inlineStr">
        <is>
          <t>ANIfit</t>
        </is>
      </c>
      <c r="Q28" s="13" t="n"/>
      <c r="R28" s="6" t="inlineStr"/>
      <c r="S28" s="6" t="inlineStr"/>
      <c r="T28" s="6" t="inlineStr">
        <is>
          <t>new</t>
        </is>
      </c>
      <c r="U28" s="6" t="inlineStr">
        <is>
          <t>no</t>
        </is>
      </c>
      <c r="V28" s="6" t="inlineStr"/>
      <c r="W28" s="6" t="inlineStr"/>
      <c r="X28" s="6" t="inlineStr"/>
      <c r="Y28" s="6" t="inlineStr"/>
      <c r="Z28" s="6" t="inlineStr"/>
      <c r="AA28" s="6" t="inlineStr"/>
      <c r="AB28" s="6" t="inlineStr"/>
      <c r="AC28" s="6" t="inlineStr"/>
      <c r="AD28" s="6" t="inlineStr"/>
      <c r="AE28" s="6" t="inlineStr"/>
      <c r="AF28" s="6" t="inlineStr"/>
      <c r="AG28" s="6" t="inlineStr"/>
      <c r="AH28" s="6" t="inlineStr"/>
      <c r="AI28" s="6" t="inlineStr"/>
      <c r="AJ28" s="6" t="inlineStr"/>
      <c r="AK28" s="6" t="inlineStr"/>
      <c r="AL28" s="3" t="n">
        <v>500</v>
      </c>
    </row>
    <row r="29">
      <c r="A29" s="3" t="n">
        <v>11258</v>
      </c>
      <c r="B29" s="14" t="inlineStr">
        <is>
          <t>Gockels Duett 400g | Anifit Nassfutter für Hunde</t>
        </is>
      </c>
      <c r="C29" s="13" t="inlineStr">
        <is>
          <t>Gockels Duett von ANIfit ist das ideale Nassfutter für alle Hunde, die eine besonders leichte und bekömmliche Ernährung benötigen.
Mit Huhn als einzigem Fleischanteil (Monoprotein) eignet sich dieses Menü hervorragend für ernährungssensible Hunde oder Tiere mit Unverträglichkeiten.
Der beeindruckende Fleischanteil von 94 % und die Ergänzung durch wertvolle, natürliche Zutaten garantieren eine vollwertige Mahlzeit, die Vitalität und Lebensfreude fördert.
Monoprotein Huhn - leicht verdaulich. Auch für für empfindliche Hunde
Die alleinige Verwendung von Hühnermuskelfleisch und Hühnerleber macht dieses Nassfutter ideal für Ausschlussdiäten oder Hunde mit Allergien gegen andere Fleischsorten. Huhn ist leicht verdaulich und liefert hochwertiges Eiweiß, das den Muskelaufbau unterstützt.
Zusammensetzung – Natürliche Zutaten für eine ausgewogene Ernährung
Hühnermuskelfleisch (77 %): Fettarm, hochverdaulich und reich an essenziellen Aminosäuren.
Hühnerleber (17 %): Natürliche Quelle für Vitamin A, Eisen und Zink, die das Immunsystem und die Blutbildung fördern.
Kartoffel (5 %): Schonende Kohlenhydratquelle für eine sanfte Energiebereitstellung.
Anteile &lt; 1 %:
Zichorie (Inulin): Unterstützt die Darmflora durch präbiotische Eigenschaften.
Dill: Fördert die Verdauung und verleiht dem Futter eine feine aromatische Note.
Hagebutte: Reich an Vitamin C, stärkt die Abwehrkräfte.
Kalzium: Für starke Knochen und Zähne.
Salz: Unterstützt den Elektrolythaushalt.
Eine Mahlzeit, die jeder Hund verdient
Ob Welpe, ausgewachsener Hund oder Senior – Gockels Duett ist für alle Altersklassen und Rassen geeignet. Die ausgewogene Rezeptur bietet eine naturnahe Ernährung, die dem natürlichen Fressverhalten von Hunden entspricht und sie rundum versorgt.
Warum Gockels Duett von ANIfit?
94 % Fleischanteil – Höchste Qualität, die Hunde liebenGockels Duett besteht zu beeindruckenden 94 % aus Huhn, der einzigen Proteinquelle in diesem Nassfutter. Das macht es nicht nur unglaublich schmackhaft, sondern auch besonders verträglich. Huhn liefert leicht verdauliches, hochwertiges Protein, das den Muskelaufbau unterstützt, das Immunsystem stärkt und die Zellerneuerung fördert.
Perfekt für sensible HundeDank des Monoprotein-Konzepts ist dieses Futter ideal für Hunde mit Allergien oder Futtermittelunverträglichkeiten. Der Verzicht auf Getreide, Gluten und künstliche Zusätze schont den Magen-Darm-Trakt und sorgt für eine sanfte Verdauung – damit auch empfindliche Fellnasen glücklich sind.
Natürlich und rein – Frei von unnötigen ZusätzenBei ANIfit wird nur verwendet, was wirklich wichtig ist: Fleisch und Zutaten in Lebensmittelqualität. Gockels Duett enthält keine Konservierungsstoffe, künstlichen Lockstoffe oder Füllstoffe. Stattdessen setzen wir auf die reine Kraft der Natur, ergänzt durch wertvolle Zutaten wie Zichorie, Hagebutte und Dill, die das Wohlbefinden Ihres Hundes fördern.
Gesundheit zum Fressen nahDas Hühnerfleisch in Gockels Duett ist reich an Omega-6-Fettsäuren, die für glänzendes Fell und gesunde Haut sorgen. Der niedrige Fettgehalt ist ideal für Hunde, die zu Übergewicht neigen oder eine fettarme Ernährung benötigen. Zusätzlich unterstützen Glucosamin und Kalzium aus natürlichen Quellen die Knochen- und Gelenkgesundheit.
Alleinfuttermittel: Vollwertig und ausgewogen, deckt den gesamten Nährstoffbedarf des Hundes ab.
Hergestellt in Schweden – für bestes Tierwohl
Bei der Herstellung der ANIfit Hundenahrung steht das Wohl der Tiere im Mittelpunkt. Gockels Duett wird in Schweden hergestellt. Hier ist man weltweit führend, wenn es um strenge Tierschutzgesetze und nachhaltige Landwirtschaft geht.
Fazit
Gockels Duett ist die perfekte Wahl für Hunde, die von einer leichten, proteinreichen und hochverdaulichen Ernährung profitieren möchten. Ob für Allergiker, sensible Hunde oder als abwechslungsreiche, artgerechte Ernährung – dieses Nassfutter überzeugt mit Qualität, Geschmack und gesundheitlichen Vorteilen.
Verwöhnen Sie Ihren Hund mit Gockels Duett von ANIfit – einer Mahlzeit voller Geschmack, Gesundheit und Sorgfalt. Weil Ihr Hund nur das Beste verdient!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29" s="6" t="inlineStr">
        <is>
          <t>in_stock</t>
        </is>
      </c>
      <c r="E29" s="6" t="inlineStr"/>
      <c r="F29" s="6" t="inlineStr"/>
      <c r="G29" s="11" t="inlineStr">
        <is>
          <t>https://www.fellkost.de/content/partners/466587/shop/shop/article/11258/gockels_duett_400g_6_stueck_</t>
        </is>
      </c>
      <c r="H29" s="6" t="inlineStr"/>
      <c r="I29" s="13" t="inlineStr">
        <is>
          <t>https://www.fellkost.de/static/content/e18829/e18831/e18851/e18852/e18878/image_shop1/ger/IMG_0613_1920x1920_w480_h480_q90_jpg.jpg?checksum=c284f93b89c6c6b4671aadff2c3fa1def7c165f6</t>
        </is>
      </c>
      <c r="J29" s="7" t="n">
        <v>26.99</v>
      </c>
      <c r="K29" s="6" t="inlineStr"/>
      <c r="L29" s="6" t="inlineStr"/>
      <c r="M29" s="6" t="inlineStr">
        <is>
          <t>no</t>
        </is>
      </c>
      <c r="N29" s="6" t="inlineStr"/>
      <c r="O29" s="6" t="inlineStr"/>
      <c r="P29" s="6" t="inlineStr">
        <is>
          <t>ANIfit</t>
        </is>
      </c>
      <c r="Q29" s="13" t="n"/>
      <c r="R29" s="6" t="inlineStr"/>
      <c r="S29" s="6" t="inlineStr"/>
      <c r="T29" s="6" t="inlineStr">
        <is>
          <t>new</t>
        </is>
      </c>
      <c r="U29" s="6" t="inlineStr">
        <is>
          <t>no</t>
        </is>
      </c>
      <c r="V29" s="6" t="inlineStr"/>
      <c r="W29" s="6" t="inlineStr"/>
      <c r="X29" s="6" t="inlineStr"/>
      <c r="Y29" s="6" t="inlineStr"/>
      <c r="Z29" s="6" t="inlineStr"/>
      <c r="AA29" s="6" t="inlineStr"/>
      <c r="AB29" s="6" t="inlineStr"/>
      <c r="AC29" s="6" t="inlineStr"/>
      <c r="AD29" s="6" t="inlineStr"/>
      <c r="AE29" s="6" t="inlineStr"/>
      <c r="AF29" s="6" t="inlineStr"/>
      <c r="AG29" s="6" t="inlineStr"/>
      <c r="AH29" s="6" t="inlineStr"/>
      <c r="AI29" s="6" t="inlineStr"/>
      <c r="AJ29" s="6" t="inlineStr"/>
      <c r="AK29" s="6" t="inlineStr"/>
      <c r="AL29" s="3" t="n">
        <v>500</v>
      </c>
    </row>
    <row r="30">
      <c r="A30" s="3" t="n">
        <v>11257</v>
      </c>
      <c r="B30" s="14" t="inlineStr">
        <is>
          <t>Gockels Duett 810g | Anifit Nassfutter für Hunde</t>
        </is>
      </c>
      <c r="C30" s="13" t="inlineStr">
        <is>
          <t>Gockels Duett von ANIfit ist das ideale Nassfutter für alle Hunde, die eine besonders leichte und bekömmliche Ernährung benötigen.
Mit Huhn als einzigem Fleischanteil (Monoprotein) eignet sich dieses Menü hervorragend für ernährungssensible Hunde oder Tiere mit Unverträglichkeiten.
Der beeindruckende Fleischanteil von 94 % und die Ergänzung durch wertvolle, natürliche Zutaten garantieren eine vollwertige Mahlzeit, die Vitalität und Lebensfreude fördert.
Monoprotein Huhn - leicht verdaulich. Auch für für empfindliche Hunde
Die alleinige Verwendung von Hühnermuskelfleisch und Hühnerleber macht dieses Nassfutter ideal für Ausschlussdiäten oder Hunde mit Allergien gegen andere Fleischsorten. Huhn ist leicht verdaulich und liefert hochwertiges Eiweiß, das den Muskelaufbau unterstützt.
Zusammensetzung – Natürliche Zutaten für eine ausgewogene Ernährung
Hühnermuskelfleisch (77 %): Fettarm, hochverdaulich und reich an essenziellen Aminosäuren.
Hühnerleber (17 %): Natürliche Quelle für Vitamin A, Eisen und Zink, die das Immunsystem und die Blutbildung fördern.
Kartoffel (5 %): Schonende Kohlenhydratquelle für eine sanfte Energiebereitstellung.
Anteile &lt; 1 %:
Zichorie (Inulin): Unterstützt die Darmflora durch präbiotische Eigenschaften.
Dill: Fördert die Verdauung und verleiht dem Futter eine feine aromatische Note.
Hagebutte: Reich an Vitamin C, stärkt die Abwehrkräfte.
Kalzium: Für starke Knochen und Zähne.
Salz: Unterstützt den Elektrolythaushalt.
Eine Mahlzeit, die jeder Hund verdient
Ob Welpe, ausgewachsener Hund oder Senior – Gockels Duett ist für alle Altersklassen und Rassen geeignet. Die ausgewogene Rezeptur bietet eine naturnahe Ernährung, die dem natürlichen Fressverhalten von Hunden entspricht und sie rundum versorgt.
Warum Gockels Duett von ANIfit?
94 % Fleischanteil – Höchste Qualität, die Hunde liebenGockels Duett besteht zu beeindruckenden 94 % aus Huhn, der einzigen Proteinquelle in diesem Nassfutter. Das macht es nicht nur unglaublich schmackhaft, sondern auch besonders verträglich. Huhn liefert leicht verdauliches, hochwertiges Protein, das den Muskelaufbau unterstützt, das Immunsystem stärkt und die Zellerneuerung fördert.
Perfekt für sensible HundeDank des Monoprotein-Konzepts ist dieses Futter ideal für Hunde mit Allergien oder Futtermittelunverträglichkeiten. Der Verzicht auf Getreide, Gluten und künstliche Zusätze schont den Magen-Darm-Trakt und sorgt für eine sanfte Verdauung – damit auch empfindliche Fellnasen glücklich sind.
Natürlich und rein – Frei von unnötigen ZusätzenBei ANIfit wird nur verwendet, was wirklich wichtig ist: Fleisch und Zutaten in Lebensmittelqualität. Gockels Duett enthält keine Konservierungsstoffe, künstlichen Lockstoffe oder Füllstoffe. Stattdessen setzen wir auf die reine Kraft der Natur, ergänzt durch wertvolle Zutaten wie Zichorie, Hagebutte und Dill, die das Wohlbefinden Ihres Hundes fördern.
Gesundheit zum Fressen nahDas Hühnerfleisch in Gockels Duett ist reich an Omega-6-Fettsäuren, die für glänzendes Fell und gesunde Haut sorgen. Der niedrige Fettgehalt ist ideal für Hunde, die zu Übergewicht neigen oder eine fettarme Ernährung benötigen. Zusätzlich unterstützen Glucosamin und Kalzium aus natürlichen Quellen die Knochen- und Gelenkgesundheit.
Alleinfuttermittel: Vollwertig und ausgewogen, deckt den gesamten Nährstoffbedarf des Hundes ab.
Hergestellt in Schweden – für bestes Tierwohl
Bei der Herstellung der ANIfit Hundenahrung steht das Wohl der Tiere im Mittelpunkt. Gockels Duett wird in Schweden hergestellt. Hier ist man weltweit führend, wenn es um strenge Tierschutzgesetze und nachhaltige Landwirtschaft geht.
Fazit
Gockels Duett ist die perfekte Wahl für Hunde, die von einer leichten, proteinreichen und hochverdaulichen Ernährung profitieren möchten. Ob für Allergiker, sensible Hunde oder als abwechslungsreiche, artgerechte Ernährung – dieses Nassfutter überzeugt mit Qualität, Geschmack und gesundheitlichen Vorteilen.
Verwöhnen Sie Ihren Hund mit Gockels Duett von ANIfit – einer Mahlzeit voller Geschmack, Gesundheit und Sorgfalt. Weil Ihr Hund nur das Beste verdient!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0" s="6" t="inlineStr">
        <is>
          <t>in_stock</t>
        </is>
      </c>
      <c r="E30" s="6" t="inlineStr"/>
      <c r="F30" s="6" t="inlineStr"/>
      <c r="G30" s="11" t="inlineStr">
        <is>
          <t>https://www.fellkost.de/content/partners/466587/shop/shop/article/11257/gockels_duett_810g_6_stueck_</t>
        </is>
      </c>
      <c r="H30" s="6" t="inlineStr"/>
      <c r="I30" s="13" t="inlineStr">
        <is>
          <t>https://www.fellkost.de/static/content/e18829/e18831/e18851/e18852/e18877/image_shop1/ger/IMG_0623_1920x1920_w960_h960_q90_jpg.jpg?checksum=3f8d69ff81fbf26c1e3caf903e25416f235136cc</t>
        </is>
      </c>
      <c r="J30" s="7" t="n">
        <v>35.99</v>
      </c>
      <c r="K30" s="6" t="inlineStr"/>
      <c r="L30" s="6" t="inlineStr"/>
      <c r="M30" s="6" t="inlineStr">
        <is>
          <t>no</t>
        </is>
      </c>
      <c r="N30" s="6" t="inlineStr"/>
      <c r="O30" s="6" t="inlineStr"/>
      <c r="P30" s="6" t="inlineStr">
        <is>
          <t>ANIfit</t>
        </is>
      </c>
      <c r="Q30" s="13" t="n"/>
      <c r="R30" s="6" t="inlineStr"/>
      <c r="S30" s="6" t="inlineStr"/>
      <c r="T30" s="6" t="inlineStr">
        <is>
          <t>new</t>
        </is>
      </c>
      <c r="U30" s="6" t="inlineStr">
        <is>
          <t>no</t>
        </is>
      </c>
      <c r="V30" s="6" t="inlineStr"/>
      <c r="W30" s="6" t="inlineStr"/>
      <c r="X30" s="6" t="inlineStr"/>
      <c r="Y30" s="6" t="inlineStr"/>
      <c r="Z30" s="6" t="inlineStr"/>
      <c r="AA30" s="6" t="inlineStr"/>
      <c r="AB30" s="6" t="inlineStr"/>
      <c r="AC30" s="6" t="inlineStr"/>
      <c r="AD30" s="6" t="inlineStr"/>
      <c r="AE30" s="6" t="inlineStr"/>
      <c r="AF30" s="6" t="inlineStr"/>
      <c r="AG30" s="6" t="inlineStr"/>
      <c r="AH30" s="6" t="inlineStr"/>
      <c r="AI30" s="6" t="inlineStr"/>
      <c r="AJ30" s="6" t="inlineStr"/>
      <c r="AK30" s="6" t="inlineStr"/>
      <c r="AL30" s="3" t="n">
        <v>500</v>
      </c>
    </row>
    <row r="31">
      <c r="A31" s="3" t="n">
        <v>11227</v>
      </c>
      <c r="B31" s="14" t="inlineStr">
        <is>
          <t>Schäfers Pfanne 200g | Anifit Nassfutter für Hunde</t>
        </is>
      </c>
      <c r="C31" s="13" t="inlineStr">
        <is>
          <t>Schäfers Pfanne ist eine wahre Gaumenfreude für Hunde, die Abwechslung und höchste Qualität in ihrem Napf verdienen.
Dieses Premium-Nassfutter kombiniert zartes Lammmuskelfleisch, saftiges Rind, hochwertiges Hühnermuskelfleisch und nährstoffreichen Lachs zu einer proteinreichen und ausgewogenen Mahlzeit.
Der Fleisch- und Fischanteil von 93 % liefert essenzielle Nährstoffe, unterstützt den Muskelaufbau, fördert eine gesunde Verdauung und sorgt für ein glänzendes Fell.
Jede Zutat wurde sorgfältig ausgewählt, um die Gesundheit und das Wohlbefinden Ihres Hundes nachhaltig zu fördern – artgerecht, natürlich und unglaublich lecker.
Darum ist Schäfers Pfanne die ideale Wahl
93 % Fleisch und Fisch – Vielfalt, die überzeugtSchäfers Pfanne kombiniert zartes Lammmuskelfleisch, Hühnermuskelfleisch, Rindermuskelfleisch und frischen Lachs. Diese erlesenen Proteinquellen liefern essenzielle Aminosäuren, fördern den Muskelaufbau und unterstützen die Zellregeneration. Die Ergänzung durch Rinderleber, Rinderlunge und Rinderstrossen sorgt für einen natürlichen Gehalt an Vitaminen, Mineralstoffen und Spurenelementen – für eine rundum nährstoffreiche Mahlzeit.
Fisch für zusätzliche NährstoffeDer Lachsanteil liefert wertvolle Omega-3-Fettsäuren, die entzündungshemmend wirken und Haut sowie Fellgesundheit fördern.
Sanfte Energiequelle und gesunde ErgänzungenReis und Karotten liefern leicht verdauliche Kohlenhydrate und Ballaststoffe, die eine sanfte Verdauung unterstützen. Salz in optimaler Dosierung sorgt für einen ausgeglichenen Elektrolythaushalt.
Zusammensetzung – Natürliche Zutaten kombiniert
Lammmuskelfleisch (23 %): Eine leicht verdauliche, fettarme Proteinquelle, ideal für empfindliche Hunde.
Hühnermuskelfleisch (23 %): Fettarmes Eiweiß für den Muskelaufbau und die Zellerneuerung.
Rindermuskelfleisch (14 %): Liefert hochwertiges Eiweiß und Eisen zur Stärkung des Immunsystems.
Lachs (5 %): Reich an Omega-3-Fettsäuren, fördert ein glänzendes Fell und gesunde Haut.
Rinderleber (7 %): Natürliche Quelle für Vitamin A, Eisen und Zink.
Rinderlunge (15 %): Fettarm und leicht verdaulich, ideal für eine ausgewogene Ernährung.
Rinderstrossen (6 %): Liefert Kalzium und Kollagen für gesunde Knochen und Gelenke.
Reis (4 %): Sanfte Kohlenhydratquelle, ideal für empfindliche Mägen.
Karotten (2 %): Reich an Beta-Carotin für die Unterstützung der Sehkraft und das Immunsystem.
Warum Schäfers Pfanne von ANIfit?
Alleinfuttermittel: Deckt den gesamten Nährstoffbedarf und sorgt für eine rundum ausgewogene Ernährung.
Vielseitige Proteinquellen: Die Kombination aus Lamm, Huhn, Rind und Fisch sorgt für eine breite Nährstoffbasis.
Premium-Qualität: Hergestellt in Schweden unter höchsten Tierwohl- und Qualitätsstandards.
Natürlich und rein: Frei von Zucker, künstlichen Zusätzen, Lockstoffen und Füllstoffen.
Für alle Hunde geeignet: Ob Welpe, erwachsener Hund oder Senior – dieses Futter bietet für alle Altersgruppen und Rassen die perfekte Ernährung.
Nur die richtigen und wichtigen ZutatenDieses Gericht enthält keine künstlichen Aroma-, Farb- und Konservierungsstoffen sowie Getreide- oder Pflanzenmehle. Bei ANIfit Futter achten wird grundsätzlich darauf, unnötige Zusatzstoffe zu vermeiden. Unsere Philosophie ist es, nur die für den Hund notwendigen Komponenten zu verwenden, die den Nährstoffbedarf als Einzelfuttermittels optimal decken.
Top Ernährung für alle LebensphasenDieses Futter ist die richtige Wahl für Hunde jeden Alters und jeder Rassen.
Hergestellt in Schweden - für höchste TierwohlansprücheBei der Herstellung der ANIfit Hundenahrung steht das Wohl der Tiere im Mittelpunkt. Schäfers Pfanne wird in Schweden hergestellt. Hier ist man weltweit führend, wenn es um strenge Tierschutzgesetze und nachhaltige Landwirtschaft geht.
Fazit
Schäfers Pfanne ist die ideale Wahl für Hundebesitzer, die höchste Ansprüche an die Ernährung ihres Vierbeiners stellen. Mit ihrer herzhaften Mischung aus Fleisch, Fisch und gesunden Ergänzungen sorgt diese Mahlzeit für strahlende Augen, ein glänzendes Fell und ein glückliches Hundeleben.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1" s="6" t="inlineStr">
        <is>
          <t>in_stock</t>
        </is>
      </c>
      <c r="E31" s="6" t="inlineStr"/>
      <c r="F31" s="6" t="inlineStr"/>
      <c r="G31" s="11" t="inlineStr">
        <is>
          <t>https://www.fellkost.de/content/partners/466587/shop/shop/article/11227/schaefers_pfanne_200g_6_stueck_?category=62183</t>
        </is>
      </c>
      <c r="H31" s="6" t="inlineStr"/>
      <c r="I31" s="13" t="inlineStr">
        <is>
          <t>https://www.fellkost.de/static/content/e18829/e18831/e18851/e18852/e18848/image_shop1/ger/Hunde%20Nassfutter%20Sch%C3%A4fers%20Pfanne%20200%20g%201920%20x%201920_w480_h480_q90_jpg.jpg?checksum=18fd81415e4380b979a60615374fb228a70e1f2c</t>
        </is>
      </c>
      <c r="J31" s="7" t="n">
        <v>20.99</v>
      </c>
      <c r="K31" s="6" t="inlineStr"/>
      <c r="L31" s="6" t="inlineStr"/>
      <c r="M31" s="6" t="inlineStr">
        <is>
          <t>no</t>
        </is>
      </c>
      <c r="N31" s="6" t="inlineStr"/>
      <c r="O31" s="6" t="inlineStr"/>
      <c r="P31" s="6" t="inlineStr">
        <is>
          <t>ANIfit</t>
        </is>
      </c>
      <c r="Q31" s="13" t="n"/>
      <c r="R31" s="6" t="inlineStr"/>
      <c r="S31" s="6" t="inlineStr"/>
      <c r="T31" s="6" t="inlineStr">
        <is>
          <t>new</t>
        </is>
      </c>
      <c r="U31" s="6" t="inlineStr">
        <is>
          <t>no</t>
        </is>
      </c>
      <c r="V31" s="6" t="inlineStr"/>
      <c r="W31" s="6" t="inlineStr"/>
      <c r="X31" s="6" t="inlineStr"/>
      <c r="Y31" s="6" t="inlineStr"/>
      <c r="Z31" s="6" t="inlineStr"/>
      <c r="AA31" s="6" t="inlineStr"/>
      <c r="AB31" s="6" t="inlineStr"/>
      <c r="AC31" s="6" t="inlineStr"/>
      <c r="AD31" s="6" t="inlineStr"/>
      <c r="AE31" s="6" t="inlineStr"/>
      <c r="AF31" s="6" t="inlineStr"/>
      <c r="AG31" s="6" t="inlineStr"/>
      <c r="AH31" s="6" t="inlineStr"/>
      <c r="AI31" s="6" t="inlineStr"/>
      <c r="AJ31" s="6" t="inlineStr"/>
      <c r="AK31" s="6" t="inlineStr"/>
      <c r="AL31" s="3" t="n">
        <v>500</v>
      </c>
    </row>
    <row r="32">
      <c r="A32" s="3" t="n">
        <v>11228</v>
      </c>
      <c r="B32" s="14" t="inlineStr">
        <is>
          <t>Schäfers Pfanne 400g | Anifit Nassfutter für Hunde</t>
        </is>
      </c>
      <c r="C32" s="13" t="inlineStr">
        <is>
          <t>Schäfers Pfanne ist eine wahre Gaumenfreude für Hunde, die Abwechslung und höchste Qualität in ihrem Napf verdienen.
Dieses Premium-Nassfutter kombiniert zartes Lammmuskelfleisch, saftiges Rind, hochwertiges Hühnermuskelfleisch und nährstoffreichen Lachs zu einer proteinreichen und ausgewogenen Mahlzeit.
Der Fleisch- und Fischanteil von 93 % liefert essenzielle Nährstoffe, unterstützt den Muskelaufbau, fördert eine gesunde Verdauung und sorgt für ein glänzendes Fell.
Jede Zutat wurde sorgfältig ausgewählt, um die Gesundheit und das Wohlbefinden Ihres Hundes nachhaltig zu fördern – artgerecht, natürlich und unglaublich lecker.
Darum ist Schäfers Pfanne die ideale Wahl
93 % Fleisch und Fisch – Vielfalt, die überzeugtSchäfers Pfanne kombiniert zartes Lammmuskelfleisch, Hühnermuskelfleisch, Rindermuskelfleisch und frischen Lachs. Diese erlesenen Proteinquellen liefern essenzielle Aminosäuren, fördern den Muskelaufbau und unterstützen die Zellregeneration. Die Ergänzung durch Rinderleber, Rinderlunge und Rinderstrossen sorgt für einen natürlichen Gehalt an Vitaminen, Mineralstoffen und Spurenelementen – für eine rundum nährstoffreiche Mahlzeit.
Fisch für zusätzliche NährstoffeDer Lachsanteil liefert wertvolle Omega-3-Fettsäuren, die entzündungshemmend wirken und Haut sowie Fellgesundheit fördern.
Sanfte Energiequelle und gesunde ErgänzungenReis und Karotten liefern leicht verdauliche Kohlenhydrate und Ballaststoffe, die eine sanfte Verdauung unterstützen. Salz in optimaler Dosierung sorgt für einen ausgeglichenen Elektrolythaushalt.
Zusammensetzung – Natürliche Zutaten kombiniert
Lammmuskelfleisch (23 %): Eine leicht verdauliche, fettarme Proteinquelle, ideal für empfindliche Hunde.
Hühnermuskelfleisch (23 %): Fettarmes Eiweiß für den Muskelaufbau und die Zellerneuerung.
Rindermuskelfleisch (14 %): Liefert hochwertiges Eiweiß und Eisen zur Stärkung des Immunsystems.
Lachs (5 %): Reich an Omega-3-Fettsäuren, fördert ein glänzendes Fell und gesunde Haut.
Rinderleber (7 %): Natürliche Quelle für Vitamin A, Eisen und Zink.
Rinderlunge (15 %): Fettarm und leicht verdaulich, ideal für eine ausgewogene Ernährung.
Rinderstrossen (6 %): Liefert Kalzium und Kollagen für gesunde Knochen und Gelenke.
Reis (4 %): Sanfte Kohlenhydratquelle, ideal für empfindliche Mägen.
Karotten (2 %): Reich an Beta-Carotin für die Unterstützung der Sehkraft und das Immunsystem.
Warum Schäfers Pfanne von ANIfit?
Alleinfuttermittel: Deckt den gesamten Nährstoffbedarf und sorgt für eine rundum ausgewogene Ernährung.
Vielseitige Proteinquellen: Die Kombination aus Lamm, Huhn, Rind und Fisch sorgt für eine breite Nährstoffbasis.
Premium-Qualität: Hergestellt in Schweden unter höchsten Tierwohl- und Qualitätsstandards.
Natürlich und rein: Frei von Zucker, künstlichen Zusätzen, Lockstoffen und Füllstoffen.
Für alle Hunde geeignet: Ob Welpe, erwachsener Hund oder Senior – dieses Futter bietet für alle Altersgruppen und Rassen die perfekte Ernährung.
Nur die richtigen und wichtigen ZutatenDieses Gericht enthält keine künstlichen Aroma-, Farb- und Konservierungsstoffen sowie Getreide- oder Pflanzenmehle. Bei ANIfit Futter achten wird grundsätzlich darauf, unnötige Zusatzstoffe zu vermeiden. Unsere Philosophie ist es, nur die für den Hund notwendigen Komponenten zu verwenden, die den Nährstoffbedarf als Einzelfuttermittels optimal decken.
Top Ernährung für alle LebensphasenDieses Futter ist die richtige Wahl für Hunde jeden Alters und jeder Rassen.
Hergestellt in Schweden - für höchste TierwohlansprücheBei der Herstellung der ANIfit Hundenahrung steht das Wohl der Tiere im Mittelpunkt. Schäfers Pfanne wird in Schweden hergestellt. Hier ist man weltweit führend, wenn es um strenge Tierschutzgesetze und nachhaltige Landwirtschaft geht.
Fazit
Schäfers Pfanne ist die ideale Wahl für Hundebesitzer, die höchste Ansprüche an die Ernährung ihres Vierbeiners stellen. Mit ihrer herzhaften Mischung aus Fleisch, Fisch und gesunden Ergänzungen sorgt diese Mahlzeit für strahlende Augen, ein glänzendes Fell und ein glückliches Hundeleben.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2" s="6" t="inlineStr">
        <is>
          <t>in_stock</t>
        </is>
      </c>
      <c r="E32" s="6" t="inlineStr"/>
      <c r="F32" s="6" t="inlineStr"/>
      <c r="G32" s="11" t="inlineStr">
        <is>
          <t>https://www.fellkost.de/content/partners/466587/shop/shop/article/11228/schaefers_pfanne_400g_6_stueck_</t>
        </is>
      </c>
      <c r="H32" s="6" t="inlineStr"/>
      <c r="I32" s="13" t="inlineStr">
        <is>
          <t>https://www.fellkost.de/static/content/e18829/e18831/e18851/e18852/e18849/image_shop1/ger/Hunde%20Nassfutter%20Sch%C3%A4fers%20Pfanne%20400%20g%201920%20x%201920_w480_h480_q90_jpg.jpg?checksum=544e11c59d8315974e2066992b0aed7579733c98</t>
        </is>
      </c>
      <c r="J32" s="7" t="n">
        <v>26.99</v>
      </c>
      <c r="K32" s="6" t="inlineStr"/>
      <c r="L32" s="6" t="inlineStr"/>
      <c r="M32" s="6" t="inlineStr">
        <is>
          <t>no</t>
        </is>
      </c>
      <c r="N32" s="6" t="inlineStr"/>
      <c r="O32" s="6" t="inlineStr"/>
      <c r="P32" s="6" t="inlineStr">
        <is>
          <t>ANIfit</t>
        </is>
      </c>
      <c r="Q32" s="13" t="n"/>
      <c r="R32" s="6" t="inlineStr"/>
      <c r="S32" s="6" t="inlineStr"/>
      <c r="T32" s="6" t="inlineStr">
        <is>
          <t>new</t>
        </is>
      </c>
      <c r="U32" s="6" t="inlineStr">
        <is>
          <t>no</t>
        </is>
      </c>
      <c r="V32" s="6" t="inlineStr"/>
      <c r="W32" s="6" t="inlineStr"/>
      <c r="X32" s="6" t="inlineStr"/>
      <c r="Y32" s="6" t="inlineStr"/>
      <c r="Z32" s="6" t="inlineStr"/>
      <c r="AA32" s="6" t="inlineStr"/>
      <c r="AB32" s="6" t="inlineStr"/>
      <c r="AC32" s="6" t="inlineStr"/>
      <c r="AD32" s="6" t="inlineStr"/>
      <c r="AE32" s="6" t="inlineStr"/>
      <c r="AF32" s="6" t="inlineStr"/>
      <c r="AG32" s="6" t="inlineStr"/>
      <c r="AH32" s="6" t="inlineStr"/>
      <c r="AI32" s="6" t="inlineStr"/>
      <c r="AJ32" s="6" t="inlineStr"/>
      <c r="AK32" s="6" t="inlineStr"/>
      <c r="AL32" s="3" t="n">
        <v>500</v>
      </c>
    </row>
    <row r="33">
      <c r="A33" s="3" t="n">
        <v>11229</v>
      </c>
      <c r="B33" s="14" t="inlineStr">
        <is>
          <t>Schäfers Pfanne 810g | Anifit Nassfutter für Hunde</t>
        </is>
      </c>
      <c r="C33" s="13" t="inlineStr">
        <is>
          <t>Schäfers Pfanne ist eine wahre Gaumenfreude für Hunde, die Abwechslung und höchste Qualität in ihrem Napf verdienen.
Dieses Premium-Nassfutter kombiniert zartes Lammmuskelfleisch, saftiges Rind, hochwertiges Hühnermuskelfleisch und nährstoffreichen Lachs zu einer proteinreichen und ausgewogenen Mahlzeit.
Der Fleisch- und Fischanteil von 93 % liefert essenzielle Nährstoffe, unterstützt den Muskelaufbau, fördert eine gesunde Verdauung und sorgt für ein glänzendes Fell.
Jede Zutat wurde sorgfältig ausgewählt, um die Gesundheit und das Wohlbefinden Ihres Hundes nachhaltig zu fördern – artgerecht, natürlich und unglaublich lecker.
Darum ist Schäfers Pfanne die ideale Wahl
93 % Fleisch und Fisch – Vielfalt, die überzeugtSchäfers Pfanne kombiniert zartes Lammmuskelfleisch, Hühnermuskelfleisch, Rindermuskelfleisch und frischen Lachs. Diese erlesenen Proteinquellen liefern essenzielle Aminosäuren, fördern den Muskelaufbau und unterstützen die Zellregeneration. Die Ergänzung durch Rinderleber, Rinderlunge und Rinderstrossen sorgt für einen natürlichen Gehalt an Vitaminen, Mineralstoffen und Spurenelementen – für eine rundum nährstoffreiche Mahlzeit.
Fisch für zusätzliche NährstoffeDer Lachsanteil liefert wertvolle Omega-3-Fettsäuren, die entzündungshemmend wirken und Haut sowie Fellgesundheit fördern.
Sanfte Energiequelle und gesunde ErgänzungenReis und Karotten liefern leicht verdauliche Kohlenhydrate und Ballaststoffe, die eine sanfte Verdauung unterstützen. Salz in optimaler Dosierung sorgt für einen ausgeglichenen Elektrolythaushalt.
Zusammensetzung – Natürliche Zutaten kombiniert
Lammmuskelfleisch (23 %): Eine leicht verdauliche, fettarme Proteinquelle, ideal für empfindliche Hunde.
Hühnermuskelfleisch (23 %): Fettarmes Eiweiß für den Muskelaufbau und die Zellerneuerung.
Rindermuskelfleisch (14 %): Liefert hochwertiges Eiweiß und Eisen zur Stärkung des Immunsystems.
Lachs (5 %): Reich an Omega-3-Fettsäuren, fördert ein glänzendes Fell und gesunde Haut.
Rinderleber (7 %): Natürliche Quelle für Vitamin A, Eisen und Zink.
Rinderlunge (15 %): Fettarm und leicht verdaulich, ideal für eine ausgewogene Ernährung.
Rinderstrossen (6 %): Liefert Kalzium und Kollagen für gesunde Knochen und Gelenke.
Reis (4 %): Sanfte Kohlenhydratquelle, ideal für empfindliche Mägen.
Karotten (2 %): Reich an Beta-Carotin für die Unterstützung der Sehkraft und das Immunsystem.
Warum Schäfers Pfanne von ANIfit?
Alleinfuttermittel: Deckt den gesamten Nährstoffbedarf und sorgt für eine rundum ausgewogene Ernährung.
Vielseitige Proteinquellen: Die Kombination aus Lamm, Huhn, Rind und Fisch sorgt für eine breite Nährstoffbasis.
Premium-Qualität: Hergestellt in Schweden unter höchsten Tierwohl- und Qualitätsstandards.
Natürlich und rein: Frei von Zucker, künstlichen Zusätzen, Lockstoffen und Füllstoffen.
Für alle Hunde geeignet: Ob Welpe, erwachsener Hund oder Senior – dieses Futter bietet für alle Altersgruppen und Rassen die perfekte Ernährung.
Nur die richtigen und wichtigen ZutatenDieses Gericht enthält keine künstlichen Aroma-, Farb- und Konservierungsstoffen sowie Getreide- oder Pflanzenmehle. Bei ANIfit Futter achten wird grundsätzlich darauf, unnötige Zusatzstoffe zu vermeiden. Unsere Philosophie ist es, nur die für den Hund notwendigen Komponenten zu verwenden, die den Nährstoffbedarf als Einzelfuttermittels optimal decken.
Top Ernährung für alle LebensphasenDieses Futter ist die richtige Wahl für Hunde jeden Alters und jeder Rassen.
Hergestellt in Schweden - für höchste TierwohlansprücheBei der Herstellung der ANIfit Hundenahrung steht das Wohl der Tiere im Mittelpunkt. Schäfers Pfanne wird in Schweden hergestellt. Hier ist man weltweit führend, wenn es um strenge Tierschutzgesetze und nachhaltige Landwirtschaft geht.
Fazit
Schäfers Pfanne ist die ideale Wahl für Hundebesitzer, die höchste Ansprüche an die Ernährung ihres Vierbeiners stellen. Mit ihrer herzhaften Mischung aus Fleisch, Fisch und gesunden Ergänzungen sorgt diese Mahlzeit für strahlende Augen, ein glänzendes Fell und ein glückliches Hundeleben.
Zubereitung
Vollkommen ausgewogene Hundenahrung.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3" s="6" t="inlineStr">
        <is>
          <t>in_stock</t>
        </is>
      </c>
      <c r="E33" s="6" t="inlineStr"/>
      <c r="F33" s="6" t="inlineStr"/>
      <c r="G33" s="11" t="inlineStr">
        <is>
          <t>https://www.fellkost.de/content/partners/466587/shop/shop/article/11229/schaefers_pfanne_810g_6_stueck_</t>
        </is>
      </c>
      <c r="H33" s="6" t="inlineStr"/>
      <c r="I33" s="13" t="inlineStr">
        <is>
          <t>https://www.fellkost.de/static/content/e18829/e18831/e18851/e18852/e18850/image_shop1/ger/Hunde%20Nassfutter%20Sch%C3%A4fers%20Pfanne%20%20810%20g%201920%20x%201920_w480_h480_q90_jpg.jpg?checksum=12532e098cc53fc39b885a5be4a91acc2cdf28e8</t>
        </is>
      </c>
      <c r="J33" s="7" t="n">
        <v>35.99</v>
      </c>
      <c r="K33" s="6" t="inlineStr"/>
      <c r="L33" s="6" t="inlineStr"/>
      <c r="M33" s="6" t="inlineStr">
        <is>
          <t>no</t>
        </is>
      </c>
      <c r="N33" s="6" t="inlineStr"/>
      <c r="O33" s="6" t="inlineStr"/>
      <c r="P33" s="6" t="inlineStr">
        <is>
          <t>ANIfit</t>
        </is>
      </c>
      <c r="Q33" s="13" t="n"/>
      <c r="R33" s="6" t="inlineStr"/>
      <c r="S33" s="6" t="inlineStr"/>
      <c r="T33" s="6" t="inlineStr">
        <is>
          <t>new</t>
        </is>
      </c>
      <c r="U33" s="6" t="inlineStr">
        <is>
          <t>no</t>
        </is>
      </c>
      <c r="V33" s="6" t="inlineStr"/>
      <c r="W33" s="6" t="inlineStr"/>
      <c r="X33" s="6" t="inlineStr"/>
      <c r="Y33" s="6" t="inlineStr"/>
      <c r="Z33" s="6" t="inlineStr"/>
      <c r="AA33" s="6" t="inlineStr"/>
      <c r="AB33" s="6" t="inlineStr"/>
      <c r="AC33" s="6" t="inlineStr"/>
      <c r="AD33" s="6" t="inlineStr"/>
      <c r="AE33" s="6" t="inlineStr"/>
      <c r="AF33" s="6" t="inlineStr"/>
      <c r="AG33" s="6" t="inlineStr"/>
      <c r="AH33" s="6" t="inlineStr"/>
      <c r="AI33" s="6" t="inlineStr"/>
      <c r="AJ33" s="6" t="inlineStr"/>
      <c r="AK33" s="6" t="inlineStr"/>
      <c r="AL33" s="3" t="n">
        <v>500</v>
      </c>
    </row>
    <row r="34">
      <c r="A34" s="3" t="n">
        <v>85971</v>
      </c>
      <c r="B34" s="14" t="inlineStr">
        <is>
          <t>RyDog Vitalmenü Huhn 200g | Anifit Nassfutter für Hunde</t>
        </is>
      </c>
      <c r="C34" s="13" t="inlineStr">
        <is>
          <t>Das RyDog Vitalmenü Huhn bietet eine ausgewogene, vollwertige Mahlzeit mit 92 % Huhn, ergänzt durch Vollkornreis, Karotten und Apfel.
Das Hühnermuskelfleisch liefert leicht verdauliches Protein für den Muskelaufbau, während Hühnerleber und Hühnerhals wichtige Nährstoffe wie Eisen und Kalzium beisteuern. Vollkornreis und Karotten sorgen für sanfte Energie und unterstützen die Verdauung.
Mit den natürlichen Zutaten Brennnessel für Vitalität und einem Hauch Salz zur Mineralstoffergänzung ist dieses Menü ideal für eine gesunde, schmackhafte Ernährung (Alleinfuttermittel).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4" s="6" t="inlineStr">
        <is>
          <t>in_stock</t>
        </is>
      </c>
      <c r="E34" s="6" t="inlineStr"/>
      <c r="F34" s="6" t="inlineStr"/>
      <c r="G34" s="11" t="inlineStr">
        <is>
          <t>https://www.fellkost.de/content/partners/466587/shop/shop/article/85971/rydog_vitalmenue_huhn_200g_6_stueck_?category=62183</t>
        </is>
      </c>
      <c r="H34" s="6" t="inlineStr"/>
      <c r="I34" s="13" t="inlineStr">
        <is>
          <t>https://www.fellkost.de/static/content/e18829/e18831/e18851/e18852/e74159/image_shop1/ger/RyDog%20Huhn%20200g-1_w480_h480_q90_jpg.jpg?checksum=c3da04585d2e2e392aec86826feecfcd72bbfa02</t>
        </is>
      </c>
      <c r="J34" s="7" t="n">
        <v>20.49</v>
      </c>
      <c r="K34" s="6" t="inlineStr"/>
      <c r="L34" s="6" t="inlineStr"/>
      <c r="M34" s="6" t="inlineStr">
        <is>
          <t>no</t>
        </is>
      </c>
      <c r="N34" s="6" t="inlineStr"/>
      <c r="O34" s="6" t="inlineStr"/>
      <c r="P34" s="6" t="inlineStr">
        <is>
          <t>ANIfit</t>
        </is>
      </c>
      <c r="Q34" s="13" t="n"/>
      <c r="R34" s="6" t="inlineStr"/>
      <c r="S34" s="6" t="inlineStr"/>
      <c r="T34" s="6" t="inlineStr">
        <is>
          <t>new</t>
        </is>
      </c>
      <c r="U34" s="6" t="inlineStr">
        <is>
          <t>no</t>
        </is>
      </c>
      <c r="V34" s="6" t="inlineStr"/>
      <c r="W34" s="6" t="inlineStr"/>
      <c r="X34" s="6" t="inlineStr"/>
      <c r="Y34" s="6" t="inlineStr"/>
      <c r="Z34" s="6" t="inlineStr"/>
      <c r="AA34" s="6" t="inlineStr"/>
      <c r="AB34" s="6" t="inlineStr"/>
      <c r="AC34" s="6" t="inlineStr"/>
      <c r="AD34" s="6" t="inlineStr"/>
      <c r="AE34" s="6" t="inlineStr"/>
      <c r="AF34" s="6" t="inlineStr"/>
      <c r="AG34" s="6" t="inlineStr"/>
      <c r="AH34" s="6" t="inlineStr"/>
      <c r="AI34" s="6" t="inlineStr"/>
      <c r="AJ34" s="6" t="inlineStr"/>
      <c r="AK34" s="6" t="inlineStr"/>
      <c r="AL34" s="3" t="n">
        <v>500</v>
      </c>
    </row>
    <row r="35">
      <c r="A35" s="3" t="n">
        <v>85975</v>
      </c>
      <c r="B35" s="14" t="inlineStr">
        <is>
          <t>RyDog Vitalmenü Huhn 400g | Anifit Nassfutter für Hunde</t>
        </is>
      </c>
      <c r="C35" s="13" t="inlineStr">
        <is>
          <t>Das RyDog Vitalmenü Huhn bietet eine ausgewogene, vollwertige Mahlzeit mit 92 % Huhn, ergänzt durch Vollkornreis, Karotten und Apfel.
Das Hühnermuskelfleisch liefert leicht verdauliches Protein für den Muskelaufbau, während Hühnerleber und Hühnerhals wichtige Nährstoffe wie Eisen und Kalzium beisteuern. Vollkornreis und Karotten sorgen für sanfte Energie und unterstützen die Verdauung.
Mit den natürlichen Zutaten Brennnessel für Vitalität und einem Hauch Salz zur Mineralstoffergänzung ist dieses Menü ideal für eine gesunde, schmackhafte Ernährung (Alleinfuttermittel).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5" s="6" t="inlineStr">
        <is>
          <t>in_stock</t>
        </is>
      </c>
      <c r="E35" s="6" t="inlineStr"/>
      <c r="F35" s="6" t="inlineStr"/>
      <c r="G35" s="11" t="inlineStr">
        <is>
          <t>https://www.fellkost.de/content/partners/466587/shop/shop/article/85975/rydog_vitalmenue_huhn_400g_6_stueck_</t>
        </is>
      </c>
      <c r="H35" s="6" t="inlineStr"/>
      <c r="I35" s="13" t="inlineStr">
        <is>
          <t>https://www.fellkost.de/static/content/e18829/e18831/e18851/e18852/e74162/image_shop1/ger/RyDog%20Huhn%20400g-1_w480_h480_q90_jpg.jpg?checksum=2f72ba89e99e222ddd4b567a48d3de502a70fd10</t>
        </is>
      </c>
      <c r="J35" s="7" t="n">
        <v>26.99</v>
      </c>
      <c r="K35" s="6" t="inlineStr"/>
      <c r="L35" s="6" t="inlineStr"/>
      <c r="M35" s="6" t="inlineStr">
        <is>
          <t>no</t>
        </is>
      </c>
      <c r="N35" s="6" t="inlineStr"/>
      <c r="O35" s="6" t="inlineStr"/>
      <c r="P35" s="6" t="inlineStr">
        <is>
          <t>ANIfit</t>
        </is>
      </c>
      <c r="Q35" s="13" t="n"/>
      <c r="R35" s="6" t="inlineStr"/>
      <c r="S35" s="6" t="inlineStr"/>
      <c r="T35" s="6" t="inlineStr">
        <is>
          <t>new</t>
        </is>
      </c>
      <c r="U35" s="6" t="inlineStr">
        <is>
          <t>no</t>
        </is>
      </c>
      <c r="V35" s="6" t="inlineStr"/>
      <c r="W35" s="6" t="inlineStr"/>
      <c r="X35" s="6" t="inlineStr"/>
      <c r="Y35" s="6" t="inlineStr"/>
      <c r="Z35" s="6" t="inlineStr"/>
      <c r="AA35" s="6" t="inlineStr"/>
      <c r="AB35" s="6" t="inlineStr"/>
      <c r="AC35" s="6" t="inlineStr"/>
      <c r="AD35" s="6" t="inlineStr"/>
      <c r="AE35" s="6" t="inlineStr"/>
      <c r="AF35" s="6" t="inlineStr"/>
      <c r="AG35" s="6" t="inlineStr"/>
      <c r="AH35" s="6" t="inlineStr"/>
      <c r="AI35" s="6" t="inlineStr"/>
      <c r="AJ35" s="6" t="inlineStr"/>
      <c r="AK35" s="6" t="inlineStr"/>
      <c r="AL35" s="3" t="n">
        <v>500</v>
      </c>
    </row>
    <row r="36">
      <c r="A36" s="3" t="n">
        <v>85977</v>
      </c>
      <c r="B36" s="14" t="inlineStr">
        <is>
          <t>RyDog Vitalmenü Huhn 800g | Anifit Nassfutter für Hunde</t>
        </is>
      </c>
      <c r="C36" s="13" t="inlineStr">
        <is>
          <t>Das RyDog Vitalmenü Huhn bietet eine ausgewogene, vollwertige Mahlzeit mit 92 % Huhn, ergänzt durch Vollkornreis, Karotten und Apfel.
Das Hühnermuskelfleisch liefert leicht verdauliches Protein für den Muskelaufbau, während Hühnerleber und Hühnerhals wichtige Nährstoffe wie Eisen und Kalzium beisteuern. Vollkornreis und Karotten sorgen für sanfte Energie und unterstützen die Verdauung.
Mit den natürlichen Zutaten Brennnessel für Vitalität und einem Hauch Salz zur Mineralstoffergänzung ist dieses Menü ideal für eine gesunde, schmackhafte Ernährung (Alleinfuttermittel).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6" s="6" t="inlineStr">
        <is>
          <t>in_stock</t>
        </is>
      </c>
      <c r="E36" s="6" t="inlineStr"/>
      <c r="F36" s="6" t="inlineStr"/>
      <c r="G36" s="11" t="inlineStr">
        <is>
          <t>https://www.fellkost.de/content/partners/466587/shop/shop/article/85977/rydog_vitalmenue_huhn_800g_6_stueck_</t>
        </is>
      </c>
      <c r="H36" s="6" t="inlineStr"/>
      <c r="I36" s="13" t="inlineStr">
        <is>
          <t>https://www.fellkost.de/static/content/e18829/e18831/e18851/e18852/e74163/image_shop1/ger/RyDog%20Huhn%20800g-1_w480_h480_q90_jpg.jpg?checksum=71fa39e8917ae822d7d4f329664ced2398a3162c</t>
        </is>
      </c>
      <c r="J36" s="7" t="n">
        <v>35.49</v>
      </c>
      <c r="K36" s="6" t="inlineStr"/>
      <c r="L36" s="6" t="inlineStr"/>
      <c r="M36" s="6" t="inlineStr">
        <is>
          <t>no</t>
        </is>
      </c>
      <c r="N36" s="6" t="inlineStr"/>
      <c r="O36" s="6" t="inlineStr"/>
      <c r="P36" s="6" t="inlineStr">
        <is>
          <t>ANIfit</t>
        </is>
      </c>
      <c r="Q36" s="13" t="n"/>
      <c r="R36" s="6" t="inlineStr"/>
      <c r="S36" s="6" t="inlineStr"/>
      <c r="T36" s="6" t="inlineStr">
        <is>
          <t>new</t>
        </is>
      </c>
      <c r="U36" s="6" t="inlineStr">
        <is>
          <t>no</t>
        </is>
      </c>
      <c r="V36" s="6" t="inlineStr"/>
      <c r="W36" s="6" t="inlineStr"/>
      <c r="X36" s="6" t="inlineStr"/>
      <c r="Y36" s="6" t="inlineStr"/>
      <c r="Z36" s="6" t="inlineStr"/>
      <c r="AA36" s="6" t="inlineStr"/>
      <c r="AB36" s="6" t="inlineStr"/>
      <c r="AC36" s="6" t="inlineStr"/>
      <c r="AD36" s="6" t="inlineStr"/>
      <c r="AE36" s="6" t="inlineStr"/>
      <c r="AF36" s="6" t="inlineStr"/>
      <c r="AG36" s="6" t="inlineStr"/>
      <c r="AH36" s="6" t="inlineStr"/>
      <c r="AI36" s="6" t="inlineStr"/>
      <c r="AJ36" s="6" t="inlineStr"/>
      <c r="AK36" s="6" t="inlineStr"/>
      <c r="AL36" s="3" t="n">
        <v>500</v>
      </c>
    </row>
    <row r="37">
      <c r="A37" s="3" t="n">
        <v>86012</v>
      </c>
      <c r="B37" s="14" t="inlineStr">
        <is>
          <t>RyDog Vitalmenü Lamm 200g | Anifit Nassfutter für Hunde</t>
        </is>
      </c>
      <c r="C37" s="13" t="inlineStr">
        <is>
          <t>Das RyDog Vitalmenü Lamm ist ein vollwertiges Alleinfuttermittel, das Hunde mit allen wichtigen Nährstoffen für ein gesundes und vitales Leben versorgt. Mit 92 % Lamm – bestehend aus Lammmuskelfleisch, Lammlunge und Lammleber – bietet dieses Menü eine reichhaltige Quelle an hochwertigem Protein und essenziellen Nährstoffen wie Eisen und Vitamin A.
Ergänzt wird die Rezeptur durch leicht verdauliche Kartoffeln und Zucchini, die die Verdauung unterstützen, sowie frische Heidelbeeren, die mit natürlichen Antioxidantien das Immunsystem stärken.
Petersilie, Eierschalenpulver und ein Hauch Salz runden die Rezeptur ab und sorgen für eine ausgewogene Mineralstoffversorgung als Alleinfuttermittel.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7" s="6" t="inlineStr">
        <is>
          <t>in_stock</t>
        </is>
      </c>
      <c r="E37" s="6" t="inlineStr"/>
      <c r="F37" s="6" t="inlineStr"/>
      <c r="G37" s="11" t="inlineStr">
        <is>
          <t>https://www.fellkost.de/content/partners/466587/shop/shop/article/86012/rydog_vitalmenue_lamm_200g_6_stueck_</t>
        </is>
      </c>
      <c r="H37" s="6" t="inlineStr"/>
      <c r="I37" s="13" t="inlineStr">
        <is>
          <t>https://www.fellkost.de/static/content/e18829/e18831/e18851/e18852/e74193/image_shop1/ger/Hunde%20Nassfutter%20RyDog%20Lamm%20200%20g%201920%20x%201920_w480_h480_q90_jpg.jpg?checksum=2c108d925e758689ccfaa535cbf5cfea65a251d5</t>
        </is>
      </c>
      <c r="J37" s="7" t="n">
        <v>25.49</v>
      </c>
      <c r="K37" s="6" t="inlineStr"/>
      <c r="L37" s="6" t="inlineStr"/>
      <c r="M37" s="6" t="inlineStr">
        <is>
          <t>no</t>
        </is>
      </c>
      <c r="N37" s="6" t="inlineStr"/>
      <c r="O37" s="6" t="inlineStr"/>
      <c r="P37" s="6" t="inlineStr">
        <is>
          <t>ANIfit</t>
        </is>
      </c>
      <c r="Q37" s="13" t="n"/>
      <c r="R37" s="6" t="inlineStr"/>
      <c r="S37" s="6" t="inlineStr"/>
      <c r="T37" s="6" t="inlineStr">
        <is>
          <t>new</t>
        </is>
      </c>
      <c r="U37" s="6" t="inlineStr">
        <is>
          <t>no</t>
        </is>
      </c>
      <c r="V37" s="6" t="inlineStr"/>
      <c r="W37" s="6" t="inlineStr"/>
      <c r="X37" s="6" t="inlineStr"/>
      <c r="Y37" s="6" t="inlineStr"/>
      <c r="Z37" s="6" t="inlineStr"/>
      <c r="AA37" s="6" t="inlineStr"/>
      <c r="AB37" s="6" t="inlineStr"/>
      <c r="AC37" s="6" t="inlineStr"/>
      <c r="AD37" s="6" t="inlineStr"/>
      <c r="AE37" s="6" t="inlineStr"/>
      <c r="AF37" s="6" t="inlineStr"/>
      <c r="AG37" s="6" t="inlineStr"/>
      <c r="AH37" s="6" t="inlineStr"/>
      <c r="AI37" s="6" t="inlineStr"/>
      <c r="AJ37" s="6" t="inlineStr"/>
      <c r="AK37" s="6" t="inlineStr"/>
      <c r="AL37" s="3" t="n">
        <v>500</v>
      </c>
    </row>
    <row r="38">
      <c r="A38" s="3" t="n">
        <v>86014</v>
      </c>
      <c r="B38" s="14" t="inlineStr">
        <is>
          <t>RyDog Vitalmenü Lamm 400g | Anifit Nassfutter für Hunde</t>
        </is>
      </c>
      <c r="C38" s="13" t="inlineStr">
        <is>
          <t>Das RyDog Vitalmenü Lamm ist ein vollwertiges Alleinfuttermittel, das Hunde mit allen wichtigen Nährstoffen für ein gesundes und vitales Leben versorgt. Mit 92 % Lamm – bestehend aus Lammmuskelfleisch, Lammlunge und Lammleber – bietet dieses Menü eine reichhaltige Quelle an hochwertigem Protein und essenziellen Nährstoffen wie Eisen und Vitamin A.
Ergänzt wird die Rezeptur durch leicht verdauliche Kartoffeln und Zucchini, die die Verdauung unterstützen, sowie frische Heidelbeeren, die mit natürlichen Antioxidantien das Immunsystem stärken.
Petersilie, Eierschalenpulver und ein Hauch Salz runden die Rezeptur ab und sorgen für eine ausgewogene Mineralstoffversorgung als Alleinfuttermittel.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8" s="6" t="inlineStr">
        <is>
          <t>in_stock</t>
        </is>
      </c>
      <c r="E38" s="6" t="inlineStr"/>
      <c r="F38" s="6" t="inlineStr"/>
      <c r="G38" s="11" t="inlineStr">
        <is>
          <t>https://www.fellkost.de/content/partners/466587/shop/shop/article/86014/rydog_vitalmenue_lamm_400g_6_stueck_</t>
        </is>
      </c>
      <c r="H38" s="6" t="inlineStr"/>
      <c r="I38" s="13" t="inlineStr">
        <is>
          <t>https://www.fellkost.de/static/content/e18829/e18831/e18851/e18852/e74194/image_shop1/ger/Hunde%20Nassfutter%20RyDog%20Lamm%20400%20g%201920%20x%201920_w480_h480_q90_png.png?checksum=4f6e9e69b676a99af74ec3f152564cf4afd86de7</t>
        </is>
      </c>
      <c r="J38" s="7" t="n">
        <v>33.49</v>
      </c>
      <c r="K38" s="6" t="inlineStr"/>
      <c r="L38" s="6" t="inlineStr"/>
      <c r="M38" s="6" t="inlineStr">
        <is>
          <t>no</t>
        </is>
      </c>
      <c r="N38" s="6" t="inlineStr"/>
      <c r="O38" s="6" t="inlineStr"/>
      <c r="P38" s="6" t="inlineStr">
        <is>
          <t>ANIfit</t>
        </is>
      </c>
      <c r="Q38" s="13" t="n"/>
      <c r="R38" s="6" t="inlineStr"/>
      <c r="S38" s="6" t="inlineStr"/>
      <c r="T38" s="6" t="inlineStr">
        <is>
          <t>new</t>
        </is>
      </c>
      <c r="U38" s="6" t="inlineStr">
        <is>
          <t>no</t>
        </is>
      </c>
      <c r="V38" s="6" t="inlineStr"/>
      <c r="W38" s="6" t="inlineStr"/>
      <c r="X38" s="6" t="inlineStr"/>
      <c r="Y38" s="6" t="inlineStr"/>
      <c r="Z38" s="6" t="inlineStr"/>
      <c r="AA38" s="6" t="inlineStr"/>
      <c r="AB38" s="6" t="inlineStr"/>
      <c r="AC38" s="6" t="inlineStr"/>
      <c r="AD38" s="6" t="inlineStr"/>
      <c r="AE38" s="6" t="inlineStr"/>
      <c r="AF38" s="6" t="inlineStr"/>
      <c r="AG38" s="6" t="inlineStr"/>
      <c r="AH38" s="6" t="inlineStr"/>
      <c r="AI38" s="6" t="inlineStr"/>
      <c r="AJ38" s="6" t="inlineStr"/>
      <c r="AK38" s="6" t="inlineStr"/>
      <c r="AL38" s="3" t="n">
        <v>500</v>
      </c>
    </row>
    <row r="39">
      <c r="A39" s="3" t="n">
        <v>86017</v>
      </c>
      <c r="B39" s="14" t="inlineStr">
        <is>
          <t>RyDog Vitalmenü Lamm 800g | Anifit Nassfutter für Hunde</t>
        </is>
      </c>
      <c r="C39" s="13" t="inlineStr">
        <is>
          <t>Das RyDog Vitalmenü Lamm ist ein vollwertiges Alleinfuttermittel, das Hunde mit allen wichtigen Nährstoffen für ein gesundes und vitales Leben versorgt. Mit 92 % Lamm – bestehend aus Lammmuskelfleisch, Lammlunge und Lammleber – bietet dieses Menü eine reichhaltige Quelle an hochwertigem Protein und essenziellen Nährstoffen wie Eisen und Vitamin A.
Ergänzt wird die Rezeptur durch leicht verdauliche Kartoffeln und Zucchini, die die Verdauung unterstützen, sowie frische Heidelbeeren, die mit natürlichen Antioxidantien das Immunsystem stärken.
Petersilie, Eierschalenpulver und ein Hauch Salz runden die Rezeptur ab und sorgen für eine ausgewogene Mineralstoffversorgung als Alleinfuttermittel.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39" s="6" t="inlineStr">
        <is>
          <t>in_stock</t>
        </is>
      </c>
      <c r="E39" s="6" t="inlineStr"/>
      <c r="F39" s="6" t="inlineStr"/>
      <c r="G39" s="11" t="inlineStr">
        <is>
          <t>https://www.fellkost.de/content/partners/466587/shop/shop/article/86017/rydog_vitalmenue_lamm_800g_6_stueck_</t>
        </is>
      </c>
      <c r="H39" s="6" t="inlineStr"/>
      <c r="I39" s="14" t="inlineStr">
        <is>
          <t>https://www.fellkost.de/static/content/e18829/e18831/e18851/e18852/e74195/image_shop1/ger/Hunde%20Nassfutter%20RyDog%20Lamm%20800g%201920%20x%201920_w480_h480_q90_jpg.jpg?checksum=cac9d30ff3a68793b192652c29ee998fe7aa0589</t>
        </is>
      </c>
      <c r="J39" s="7" t="n">
        <v>44.49</v>
      </c>
      <c r="K39" s="6" t="inlineStr"/>
      <c r="L39" s="6" t="inlineStr"/>
      <c r="M39" s="6" t="inlineStr">
        <is>
          <t>no</t>
        </is>
      </c>
      <c r="N39" s="6" t="inlineStr"/>
      <c r="O39" s="6" t="inlineStr"/>
      <c r="P39" s="6" t="inlineStr">
        <is>
          <t>ANIfit</t>
        </is>
      </c>
      <c r="Q39" s="13" t="n"/>
      <c r="R39" s="6" t="inlineStr"/>
      <c r="S39" s="6" t="inlineStr"/>
      <c r="T39" s="6" t="inlineStr">
        <is>
          <t>new</t>
        </is>
      </c>
      <c r="U39" s="6" t="inlineStr">
        <is>
          <t>no</t>
        </is>
      </c>
      <c r="V39" s="6" t="inlineStr"/>
      <c r="W39" s="6" t="inlineStr"/>
      <c r="X39" s="6" t="inlineStr"/>
      <c r="Y39" s="6" t="inlineStr"/>
      <c r="Z39" s="6" t="inlineStr"/>
      <c r="AA39" s="6" t="inlineStr"/>
      <c r="AB39" s="6" t="inlineStr"/>
      <c r="AC39" s="6" t="inlineStr"/>
      <c r="AD39" s="6" t="inlineStr"/>
      <c r="AE39" s="6" t="inlineStr"/>
      <c r="AF39" s="6" t="inlineStr"/>
      <c r="AG39" s="6" t="inlineStr"/>
      <c r="AH39" s="6" t="inlineStr"/>
      <c r="AI39" s="6" t="inlineStr"/>
      <c r="AJ39" s="6" t="inlineStr"/>
      <c r="AK39" s="6" t="inlineStr"/>
      <c r="AL39" s="3" t="n">
        <v>500</v>
      </c>
    </row>
    <row r="40">
      <c r="A40" s="3" t="n">
        <v>86019</v>
      </c>
      <c r="B40" s="14" t="inlineStr">
        <is>
          <t>RyDog Ziege&amp;Pferd 200g | Anifit Nassfutter für Hunde</t>
        </is>
      </c>
      <c r="C40" s="13" t="inlineStr">
        <is>
          <t>Das RyDog Vitalmenü Ziege &amp; Pferd setzt auf zwei selten verwendete Fleischsorten, die ideal für Hunde mit empfindlichem Magen oder Futtermittelunverträglichkeiten sind.
Mit 92 % Fleischanteil aus Ziege und Pferd liefert dieses Menü leicht verdauliche Proteine, die besonders schonend für den Verdauungstrakt sind und eine ausgezeichnete Verträglichkeit bieten.
Ziegen- und Pferdemuskelfleisch, ergänzt durch Leber, Lunge und Luftröhre, versorgt Ihren Hund mit essenziellen Aminosäuren, Vitaminen und Mineralstoffen für starke Muskeln und ein stabiles Immunsystem.
Pastinaken und Spinat fördern eine gesunde Verdauung, während Johannisbeeren mit natürlichen Antioxidantien das Wohlbefinden stärken. Löwenzahn, Eierschalenpulver und Salz runden die Rezeptur ab und sorgen für eine optimale Mineralstoffbalance.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0" s="6" t="inlineStr">
        <is>
          <t>in_stock</t>
        </is>
      </c>
      <c r="E40" s="6" t="inlineStr"/>
      <c r="F40" s="6" t="inlineStr"/>
      <c r="G40" s="11" t="inlineStr">
        <is>
          <t>https://www.fellkost.de/content/partners/466587/shop/shop/article/86019/rydog_ziege_pferd_200g_6_stueck_</t>
        </is>
      </c>
      <c r="H40" s="6" t="inlineStr"/>
      <c r="I40" s="13" t="inlineStr">
        <is>
          <t>https://www.fellkost.de/static/content/e18829/e18831/e18851/e18852/e74197/image_shop1/ger/RyDog%20ZiegePferd%20200g-1_w480_h480_q90_jpg.jpg?checksum=1addfb890442824e5a8e838d7bfa99650df1b566</t>
        </is>
      </c>
      <c r="J40" s="7" t="n">
        <v>29.49</v>
      </c>
      <c r="K40" s="6" t="inlineStr"/>
      <c r="L40" s="6" t="inlineStr"/>
      <c r="M40" s="6" t="inlineStr">
        <is>
          <t>no</t>
        </is>
      </c>
      <c r="N40" s="6" t="inlineStr"/>
      <c r="O40" s="6" t="inlineStr"/>
      <c r="P40" s="6" t="inlineStr">
        <is>
          <t>ANIfit</t>
        </is>
      </c>
      <c r="Q40" s="13" t="n"/>
      <c r="R40" s="6" t="inlineStr"/>
      <c r="S40" s="6" t="inlineStr"/>
      <c r="T40" s="6" t="inlineStr">
        <is>
          <t>new</t>
        </is>
      </c>
      <c r="U40" s="6" t="inlineStr">
        <is>
          <t>no</t>
        </is>
      </c>
      <c r="V40" s="6" t="inlineStr"/>
      <c r="W40" s="6" t="inlineStr"/>
      <c r="X40" s="6" t="inlineStr"/>
      <c r="Y40" s="6" t="inlineStr"/>
      <c r="Z40" s="6" t="inlineStr"/>
      <c r="AA40" s="6" t="inlineStr"/>
      <c r="AB40" s="6" t="inlineStr"/>
      <c r="AC40" s="6" t="inlineStr"/>
      <c r="AD40" s="6" t="inlineStr"/>
      <c r="AE40" s="6" t="inlineStr"/>
      <c r="AF40" s="6" t="inlineStr"/>
      <c r="AG40" s="6" t="inlineStr"/>
      <c r="AH40" s="6" t="inlineStr"/>
      <c r="AI40" s="6" t="inlineStr"/>
      <c r="AJ40" s="6" t="inlineStr"/>
      <c r="AK40" s="6" t="inlineStr"/>
      <c r="AL40" s="3" t="n">
        <v>500</v>
      </c>
    </row>
    <row r="41">
      <c r="A41" s="3" t="n">
        <v>86022</v>
      </c>
      <c r="B41" s="14" t="inlineStr">
        <is>
          <t>RyDog Ziege&amp;Pferd 400g | Anifit Nassfutter für Hunde</t>
        </is>
      </c>
      <c r="C41" s="13" t="inlineStr">
        <is>
          <t>Das RyDog Vitalmenü Ziege &amp; Pferd setzt auf zwei selten verwendete Fleischsorten, die ideal für Hunde mit empfindlichem Magen oder Futtermittelunverträglichkeiten sind.
Mit 92 % Fleischanteil aus Ziege und Pferd liefert dieses Menü leicht verdauliche Proteine, die besonders schonend für den Verdauungstrakt sind und eine ausgezeichnete Verträglichkeit bieten.
Ziegen- und Pferdemuskelfleisch, ergänzt durch Leber, Lunge und Luftröhre, versorgt Ihren Hund mit essenziellen Aminosäuren, Vitaminen und Mineralstoffen für starke Muskeln und ein stabiles Immunsystem.
Pastinaken und Spinat fördern eine gesunde Verdauung, während Johannisbeeren mit natürlichen Antioxidantien das Wohlbefinden stärken. Löwenzahn, Eierschalenpulver und Salz runden die Rezeptur ab und sorgen für eine optimale Mineralstoffbalance.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1" s="6" t="inlineStr">
        <is>
          <t>in_stock</t>
        </is>
      </c>
      <c r="E41" s="6" t="inlineStr"/>
      <c r="F41" s="6" t="inlineStr"/>
      <c r="G41" s="11" t="inlineStr">
        <is>
          <t>https://www.fellkost.de/content/partners/466587/shop/shop/article/86022/rydog_ziege_pferd_400g_6_stueck_</t>
        </is>
      </c>
      <c r="H41" s="6" t="inlineStr"/>
      <c r="I41" s="13" t="inlineStr">
        <is>
          <t>https://www.fellkost.de/static/content/e18829/e18831/e18851/e18852/e74198/image_shop1/ger/RyDog%20ZiegePferd%20400g-1_w480_h480_q90_jpg.jpg?checksum=dc9c2f3fc847d1ace874b965d2fbb376a40b9afa</t>
        </is>
      </c>
      <c r="J41" s="7" t="n">
        <v>37.49</v>
      </c>
      <c r="K41" s="6" t="inlineStr"/>
      <c r="L41" s="6" t="inlineStr"/>
      <c r="M41" s="6" t="inlineStr">
        <is>
          <t>no</t>
        </is>
      </c>
      <c r="N41" s="6" t="inlineStr"/>
      <c r="O41" s="6" t="inlineStr"/>
      <c r="P41" s="6" t="inlineStr">
        <is>
          <t>ANIfit</t>
        </is>
      </c>
      <c r="Q41" s="13" t="n"/>
      <c r="R41" s="6" t="inlineStr"/>
      <c r="S41" s="6" t="inlineStr"/>
      <c r="T41" s="6" t="inlineStr">
        <is>
          <t>new</t>
        </is>
      </c>
      <c r="U41" s="6" t="inlineStr">
        <is>
          <t>no</t>
        </is>
      </c>
      <c r="V41" s="6" t="inlineStr"/>
      <c r="W41" s="6" t="inlineStr"/>
      <c r="X41" s="6" t="inlineStr"/>
      <c r="Y41" s="6" t="inlineStr"/>
      <c r="Z41" s="6" t="inlineStr"/>
      <c r="AA41" s="6" t="inlineStr"/>
      <c r="AB41" s="6" t="inlineStr"/>
      <c r="AC41" s="6" t="inlineStr"/>
      <c r="AD41" s="6" t="inlineStr"/>
      <c r="AE41" s="6" t="inlineStr"/>
      <c r="AF41" s="6" t="inlineStr"/>
      <c r="AG41" s="6" t="inlineStr"/>
      <c r="AH41" s="6" t="inlineStr"/>
      <c r="AI41" s="6" t="inlineStr"/>
      <c r="AJ41" s="6" t="inlineStr"/>
      <c r="AK41" s="6" t="inlineStr"/>
      <c r="AL41" s="3" t="n">
        <v>500</v>
      </c>
    </row>
    <row r="42">
      <c r="A42" s="3" t="n">
        <v>86024</v>
      </c>
      <c r="B42" s="14" t="inlineStr">
        <is>
          <t>RyDog Ziege&amp;Pferd 800g | Anifit Nassfutter für Hunde</t>
        </is>
      </c>
      <c r="C42" s="13" t="inlineStr">
        <is>
          <t>Das RyDog Vitalmenü Ziege &amp; Pferd setzt auf zwei selten verwendete Fleischsorten, die ideal für Hunde mit empfindlichem Magen oder Futtermittelunverträglichkeiten sind.
Mit 92 % Fleischanteil aus Ziege und Pferd liefert dieses Menü leicht verdauliche Proteine, die besonders schonend für den Verdauungstrakt sind und eine ausgezeichnete Verträglichkeit bieten.
Ziegen- und Pferdemuskelfleisch, ergänzt durch Leber, Lunge und Luftröhre, versorgt Ihren Hund mit essenziellen Aminosäuren, Vitaminen und Mineralstoffen für starke Muskeln und ein stabiles Immunsystem.
Pastinaken und Spinat fördern eine gesunde Verdauung, während Johannisbeeren mit natürlichen Antioxidantien das Wohlbefinden stärken. Löwenzahn, Eierschalenpulver und Salz runden die Rezeptur ab und sorgen für eine optimale Mineralstoffbalance.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2" s="6" t="inlineStr">
        <is>
          <t>in_stock</t>
        </is>
      </c>
      <c r="E42" s="6" t="inlineStr"/>
      <c r="F42" s="6" t="inlineStr"/>
      <c r="G42" s="11" t="inlineStr">
        <is>
          <t>https://www.fellkost.de/content/partners/466587/shop/shop/article/86024/rydog_ziege_pferd_800g_6_stueck_</t>
        </is>
      </c>
      <c r="H42" s="6" t="inlineStr"/>
      <c r="I42" s="13" t="inlineStr">
        <is>
          <t>https://www.fellkost.de/static/content/e18829/e18831/e18851/e18852/e74199/image_shop1/ger/RyDog%20ZiegePferd%20800g-1_w480_h480_q90_jpg.jpg?checksum=9ccd805d548008cef23cf4c65118c1fff4d17f06</t>
        </is>
      </c>
      <c r="J42" s="7" t="n">
        <v>48.49</v>
      </c>
      <c r="K42" s="6" t="inlineStr"/>
      <c r="L42" s="6" t="inlineStr"/>
      <c r="M42" s="6" t="inlineStr">
        <is>
          <t>no</t>
        </is>
      </c>
      <c r="N42" s="6" t="inlineStr"/>
      <c r="O42" s="6" t="inlineStr"/>
      <c r="P42" s="6" t="inlineStr">
        <is>
          <t>ANIfit</t>
        </is>
      </c>
      <c r="Q42" s="13" t="n"/>
      <c r="R42" s="6" t="inlineStr"/>
      <c r="S42" s="6" t="inlineStr"/>
      <c r="T42" s="6" t="inlineStr">
        <is>
          <t>new</t>
        </is>
      </c>
      <c r="U42" s="6" t="inlineStr">
        <is>
          <t>no</t>
        </is>
      </c>
      <c r="V42" s="6" t="inlineStr"/>
      <c r="W42" s="6" t="inlineStr"/>
      <c r="X42" s="6" t="inlineStr"/>
      <c r="Y42" s="6" t="inlineStr"/>
      <c r="Z42" s="6" t="inlineStr"/>
      <c r="AA42" s="6" t="inlineStr"/>
      <c r="AB42" s="6" t="inlineStr"/>
      <c r="AC42" s="6" t="inlineStr"/>
      <c r="AD42" s="6" t="inlineStr"/>
      <c r="AE42" s="6" t="inlineStr"/>
      <c r="AF42" s="6" t="inlineStr"/>
      <c r="AG42" s="6" t="inlineStr"/>
      <c r="AH42" s="6" t="inlineStr"/>
      <c r="AI42" s="6" t="inlineStr"/>
      <c r="AJ42" s="6" t="inlineStr"/>
      <c r="AK42" s="6" t="inlineStr"/>
      <c r="AL42" s="3" t="n">
        <v>500</v>
      </c>
    </row>
    <row r="43">
      <c r="A43" s="3" t="n">
        <v>40681</v>
      </c>
      <c r="B43" s="14" t="inlineStr">
        <is>
          <t>RyDog Vitalmenü Bio-Rind 200g | Anifit Nassfutter für Hunde</t>
        </is>
      </c>
      <c r="C43" s="13" t="inlineStr">
        <is>
          <t>Eine vollwertige Mahlzeit aus 100 % Zutaten in Bio-Qualität. Mit 89 % Fleischanteil, bestehend aus Rindermuskelfleisch, Rinderleber, Rinderstrossen und Rinderlunge, liefert dieses Menü hochwertige Proteine und essenzielle Nährstoffe für starke Muskeln, ein gesundes Immunsystem und eine ausgewogene Ernährung.
Karotten und Kartoffeln aus biologischem Anbau ergänzen die Rezeptur mit leicht verdaulichen Kohlenhydraten und wichtigen Ballaststoffen.
Fructo-Oligosaccharide fördern eine gesunde Darmflora, während Kalzium und Salz für eine ausgewogene Mineralstoffversorgung sorgen.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3" s="6" t="inlineStr">
        <is>
          <t>in_stock</t>
        </is>
      </c>
      <c r="E43" s="6" t="inlineStr"/>
      <c r="F43" s="6" t="inlineStr"/>
      <c r="G43" s="11" t="inlineStr">
        <is>
          <t>https://www.fellkost.de/content/partners/466587/shop/shop/article/40681/rydog_vitalmenue_bio-rind_200g_6_stueck_</t>
        </is>
      </c>
      <c r="H43" s="6" t="inlineStr"/>
      <c r="I43" s="14" t="inlineStr">
        <is>
          <t>https://www.fellkost.de/static/content/e18829/e18831/e18851/e18852/e41110/image_shop1/ger/Hund%20Nassfutter%20RyDog%20Bio%20Rind%20200%20g%201920%20x%201920_w480_h480_q90_jpg.jpg?checksum=8df5dfc2edc406d38984d805aa9f492501c607e6</t>
        </is>
      </c>
      <c r="J43" s="7" t="n">
        <v>23.99</v>
      </c>
      <c r="K43" s="6" t="inlineStr"/>
      <c r="L43" s="6" t="inlineStr"/>
      <c r="M43" s="6" t="inlineStr">
        <is>
          <t>no</t>
        </is>
      </c>
      <c r="N43" s="6" t="inlineStr"/>
      <c r="O43" s="6" t="inlineStr"/>
      <c r="P43" s="6" t="inlineStr">
        <is>
          <t>ANIfit</t>
        </is>
      </c>
      <c r="Q43" s="13" t="n"/>
      <c r="R43" s="6" t="inlineStr"/>
      <c r="S43" s="6" t="inlineStr"/>
      <c r="T43" s="6" t="inlineStr">
        <is>
          <t>new</t>
        </is>
      </c>
      <c r="U43" s="6" t="inlineStr">
        <is>
          <t>no</t>
        </is>
      </c>
      <c r="V43" s="6" t="inlineStr"/>
      <c r="W43" s="6" t="inlineStr"/>
      <c r="X43" s="6" t="inlineStr"/>
      <c r="Y43" s="6" t="inlineStr"/>
      <c r="Z43" s="6" t="inlineStr"/>
      <c r="AA43" s="6" t="inlineStr"/>
      <c r="AB43" s="6" t="inlineStr"/>
      <c r="AC43" s="6" t="inlineStr"/>
      <c r="AD43" s="6" t="inlineStr"/>
      <c r="AE43" s="6" t="inlineStr"/>
      <c r="AF43" s="6" t="inlineStr"/>
      <c r="AG43" s="6" t="inlineStr"/>
      <c r="AH43" s="6" t="inlineStr"/>
      <c r="AI43" s="6" t="inlineStr"/>
      <c r="AJ43" s="6" t="inlineStr"/>
      <c r="AK43" s="6" t="inlineStr"/>
      <c r="AL43" s="3" t="n">
        <v>500</v>
      </c>
    </row>
    <row r="44">
      <c r="A44" s="3" t="n">
        <v>40683</v>
      </c>
      <c r="B44" s="14" t="inlineStr">
        <is>
          <t>RyDog Vitalmenü Bio-Rind 400g | Anifit Nassfutter für Hunde</t>
        </is>
      </c>
      <c r="C44" s="13" t="inlineStr">
        <is>
          <t>Eine vollwertige Mahlzeit aus 100 % Zutaten in Bio-Qualität. Mit 89 % Fleischanteil, bestehend aus Rindermuskelfleisch, Rinderleber, Rinderstrossen und Rinderlunge, liefert dieses Menü hochwertige Proteine und essenzielle Nährstoffe für starke Muskeln, ein gesundes Immunsystem und eine ausgewogene Ernährung.
Karotten und Kartoffeln aus biologischem Anbau ergänzen die Rezeptur mit leicht verdaulichen Kohlenhydraten und wichtigen Ballaststoffen.
Fructo-Oligosaccharide fördern eine gesunde Darmflora, während Kalzium und Salz für eine ausgewogene Mineralstoffversorgung sorgen.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4" s="6" t="inlineStr">
        <is>
          <t>in_stock</t>
        </is>
      </c>
      <c r="E44" s="6" t="inlineStr"/>
      <c r="F44" s="6" t="inlineStr"/>
      <c r="G44" s="11" t="inlineStr">
        <is>
          <t>https://www.fellkost.de/content/partners/466587/shop/shop/article/40683/rydog_vitalmenue_bio-rind_400g_6_stueck_</t>
        </is>
      </c>
      <c r="H44" s="6" t="inlineStr"/>
      <c r="I44" s="13" t="inlineStr">
        <is>
          <t>https://www.fellkost.de/static/content/e18829/e18831/e18851/e18852/e41111/image_shop1/ger/Hund%20Nassfutter%20RyDog%20Bio%20Rind%20400%20g%201920%20x%201920_w480_h480_q90_jpg.jpg?checksum=b6dbb3e9ff881db17a086931e2b3b998d5b095c6</t>
        </is>
      </c>
      <c r="J44" s="7" t="n">
        <v>31.99</v>
      </c>
      <c r="K44" s="6" t="inlineStr"/>
      <c r="L44" s="6" t="inlineStr"/>
      <c r="M44" s="6" t="inlineStr">
        <is>
          <t>no</t>
        </is>
      </c>
      <c r="N44" s="6" t="inlineStr"/>
      <c r="O44" s="6" t="inlineStr"/>
      <c r="P44" s="6" t="inlineStr">
        <is>
          <t>ANIfit</t>
        </is>
      </c>
      <c r="Q44" s="13" t="n"/>
      <c r="R44" s="6" t="inlineStr"/>
      <c r="S44" s="6" t="inlineStr"/>
      <c r="T44" s="6" t="inlineStr">
        <is>
          <t>new</t>
        </is>
      </c>
      <c r="U44" s="6" t="inlineStr">
        <is>
          <t>no</t>
        </is>
      </c>
      <c r="V44" s="6" t="inlineStr"/>
      <c r="W44" s="6" t="inlineStr"/>
      <c r="X44" s="6" t="inlineStr"/>
      <c r="Y44" s="6" t="inlineStr"/>
      <c r="Z44" s="6" t="inlineStr"/>
      <c r="AA44" s="6" t="inlineStr"/>
      <c r="AB44" s="6" t="inlineStr"/>
      <c r="AC44" s="6" t="inlineStr"/>
      <c r="AD44" s="6" t="inlineStr"/>
      <c r="AE44" s="6" t="inlineStr"/>
      <c r="AF44" s="6" t="inlineStr"/>
      <c r="AG44" s="6" t="inlineStr"/>
      <c r="AH44" s="6" t="inlineStr"/>
      <c r="AI44" s="6" t="inlineStr"/>
      <c r="AJ44" s="6" t="inlineStr"/>
      <c r="AK44" s="6" t="inlineStr"/>
      <c r="AL44" s="3" t="n">
        <v>500</v>
      </c>
    </row>
    <row r="45">
      <c r="A45" s="3" t="n">
        <v>39714</v>
      </c>
      <c r="B45" s="14" t="inlineStr">
        <is>
          <t>RyDog Vitalmenü Bio-Rind 800g | Anifit Nassfutter für Hunde</t>
        </is>
      </c>
      <c r="C45" s="13" t="inlineStr">
        <is>
          <t>Eine vollwertige Mahlzeit aus 100 % Zutaten in Bio-Qualität. Mit 89 % Fleischanteil, bestehend aus Rindermuskelfleisch, Rinderleber, Rinderstrossen und Rinderlunge, liefert dieses Menü hochwertige Proteine und essenzielle Nährstoffe für starke Muskeln, ein gesundes Immunsystem und eine ausgewogene Ernährung.
Karotten und Kartoffeln aus biologischem Anbau ergänzen die Rezeptur mit leicht verdaulichen Kohlenhydraten und wichtigen Ballaststoffen.
Fructo-Oligosaccharide fördern eine gesunde Darmflora, während Kalzium und Salz für eine ausgewogene Mineralstoffversorgung sorgen.
Zubereitung
Vollkommen ausgewogene Hundenahrung.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5" s="6" t="inlineStr">
        <is>
          <t>in_stock</t>
        </is>
      </c>
      <c r="E45" s="6" t="inlineStr"/>
      <c r="F45" s="6" t="inlineStr"/>
      <c r="G45" s="11" t="inlineStr">
        <is>
          <t>https://www.fellkost.de/content/partners/466587/shop/shop/article/39714/rydog_vitalmenue_bio-rind_800g_6_stueck_</t>
        </is>
      </c>
      <c r="H45" s="6" t="inlineStr"/>
      <c r="I45" s="13" t="inlineStr">
        <is>
          <t>https://www.fellkost.de/static/content/e18829/e18831/e18851/e18852/e40320/image_shop1/ger/Hund%20Nassfutter%20RyDog%20Bio%20Rind%20800%20g%201920%20x%201920_w480_h480_q90_jpg.jpg?checksum=d09e7a592e1cde2a36e5e7aba2001c1e2bc5b10d</t>
        </is>
      </c>
      <c r="J45" s="7" t="n">
        <v>43.99</v>
      </c>
      <c r="K45" s="6" t="inlineStr"/>
      <c r="L45" s="6" t="inlineStr"/>
      <c r="M45" s="6" t="inlineStr">
        <is>
          <t>no</t>
        </is>
      </c>
      <c r="N45" s="6" t="inlineStr"/>
      <c r="O45" s="6" t="inlineStr"/>
      <c r="P45" s="6" t="inlineStr">
        <is>
          <t>ANIfit</t>
        </is>
      </c>
      <c r="Q45" s="13" t="n"/>
      <c r="R45" s="6" t="inlineStr"/>
      <c r="S45" s="6" t="inlineStr"/>
      <c r="T45" s="6" t="inlineStr">
        <is>
          <t>new</t>
        </is>
      </c>
      <c r="U45" s="6" t="inlineStr">
        <is>
          <t>no</t>
        </is>
      </c>
      <c r="V45" s="6" t="inlineStr"/>
      <c r="W45" s="6" t="inlineStr"/>
      <c r="X45" s="6" t="inlineStr"/>
      <c r="Y45" s="6" t="inlineStr"/>
      <c r="Z45" s="6" t="inlineStr"/>
      <c r="AA45" s="6" t="inlineStr"/>
      <c r="AB45" s="6" t="inlineStr"/>
      <c r="AC45" s="6" t="inlineStr"/>
      <c r="AD45" s="6" t="inlineStr"/>
      <c r="AE45" s="6" t="inlineStr"/>
      <c r="AF45" s="6" t="inlineStr"/>
      <c r="AG45" s="6" t="inlineStr"/>
      <c r="AH45" s="6" t="inlineStr"/>
      <c r="AI45" s="6" t="inlineStr"/>
      <c r="AJ45" s="6" t="inlineStr"/>
      <c r="AK45" s="6" t="inlineStr"/>
      <c r="AL45" s="3" t="n">
        <v>500</v>
      </c>
    </row>
    <row r="46">
      <c r="A46" s="3" t="n">
        <v>40705</v>
      </c>
      <c r="B46" s="14" t="inlineStr">
        <is>
          <t>Gourmetwurst Pferd 400g | Anifit Leckerlies für Hunde</t>
        </is>
      </c>
      <c r="C46" s="13" t="inlineStr">
        <is>
          <t>Der Hauptbestandteil der Wurst ist Pferdefleisch und damit als „unübliche“ Fleischsorte besonders für Hunde geeignet, die empfindlich reagieren. Zusätzlich enthält dieses Gericht keine Stärke und damit besonders reizarm.
Lebensmittelqualität
89 % Fleisch
Glutenfrei, Stärkefrei
Hypoallergen / Monoprotein
Ohne Konservierungsstoffe
Ohne Farbstoffe
Ohne Geschmacksverstärker.
Serviertipp für Feinschmecker
Gourmetwurst im Kühlschrank kühlen, dann in dünne Scheiben schneiden und auf einem Backblech auslegen. Bei 150 Grad im Backofen 20 Minuten trocknen.</t>
        </is>
      </c>
      <c r="D46" s="6" t="inlineStr">
        <is>
          <t>in_stock</t>
        </is>
      </c>
      <c r="E46" s="6" t="inlineStr"/>
      <c r="F46" s="6" t="inlineStr"/>
      <c r="G46" s="11" t="inlineStr">
        <is>
          <t>https://www.fellkost.de/content/partners/466587/shop/shop/article/40705/gourmetwurst_pferd_400g_1_stueck_</t>
        </is>
      </c>
      <c r="H46" s="6" t="inlineStr"/>
      <c r="I46" s="13" t="inlineStr">
        <is>
          <t>https://www.fellkost.de/static/content/e18829/e18831/e18851/e18852/e41126/image_shop1/ger/Wurst%20Pferd%2001_w480_h480_q90_jpg.jpg?checksum=66772a12e4999a58ac68c67aedbaf9796712f452</t>
        </is>
      </c>
      <c r="J46" s="7" t="n">
        <v>4.59</v>
      </c>
      <c r="K46" s="6" t="inlineStr"/>
      <c r="L46" s="6" t="inlineStr"/>
      <c r="M46" s="6" t="inlineStr">
        <is>
          <t>no</t>
        </is>
      </c>
      <c r="N46" s="6" t="inlineStr"/>
      <c r="O46" s="6" t="inlineStr"/>
      <c r="P46" s="6" t="inlineStr">
        <is>
          <t>ANIfit</t>
        </is>
      </c>
      <c r="Q46" s="13" t="n"/>
      <c r="R46" s="6" t="inlineStr"/>
      <c r="S46" s="6" t="inlineStr"/>
      <c r="T46" s="6" t="inlineStr">
        <is>
          <t>new</t>
        </is>
      </c>
      <c r="U46" s="6" t="inlineStr">
        <is>
          <t>no</t>
        </is>
      </c>
      <c r="V46" s="6" t="inlineStr"/>
      <c r="W46" s="6" t="inlineStr"/>
      <c r="X46" s="6" t="inlineStr"/>
      <c r="Y46" s="6" t="inlineStr"/>
      <c r="Z46" s="6" t="inlineStr"/>
      <c r="AA46" s="6" t="inlineStr"/>
      <c r="AB46" s="6" t="inlineStr"/>
      <c r="AC46" s="6" t="inlineStr"/>
      <c r="AD46" s="6" t="inlineStr"/>
      <c r="AE46" s="6" t="inlineStr"/>
      <c r="AF46" s="6" t="inlineStr"/>
      <c r="AG46" s="6" t="inlineStr"/>
      <c r="AH46" s="6" t="inlineStr"/>
      <c r="AI46" s="6" t="inlineStr"/>
      <c r="AJ46" s="6" t="inlineStr"/>
      <c r="AK46" s="6" t="inlineStr"/>
      <c r="AL46" s="3" t="n">
        <v>500</v>
      </c>
    </row>
    <row r="47">
      <c r="A47" s="3" t="n">
        <v>40707</v>
      </c>
      <c r="B47" s="14" t="inlineStr">
        <is>
          <t>Gourmetwurst Wild 400g | Anifit Leckerlies für Hunde</t>
        </is>
      </c>
      <c r="C47" s="13" t="inlineStr">
        <is>
          <t>Der Hauptbestandteil der Wurst ist Wildfleisch und damit als „unübliche“ Fleischsorte besonders für Hunde geeignet, die empfindlich reagieren.
Lebensmittelqualität
91 % Fleisch
Glutenfrei
Hypoallergen / Monoprotein
Ohne Konservierungsstoffe
Ohne Farbstoffe
Ohne Geschmacksverstärker.
Serviertipp für Feinschmecker
Gourmetwurst im Kühlschrank kühlen, dann in dünne Scheiben schneiden und auf einem Backblech auslegen. Bei 150 Grad im Backofen 20 Minuten trocknen.</t>
        </is>
      </c>
      <c r="D47" s="6" t="inlineStr">
        <is>
          <t>in_stock</t>
        </is>
      </c>
      <c r="E47" s="6" t="inlineStr"/>
      <c r="F47" s="6" t="inlineStr"/>
      <c r="G47" s="11" t="inlineStr">
        <is>
          <t>https://www.fellkost.de/content/partners/466587/shop/shop/article/40707/gourmetwurst_wild_400g_1_stueck_</t>
        </is>
      </c>
      <c r="H47" s="6" t="inlineStr"/>
      <c r="I47" s="13" t="inlineStr">
        <is>
          <t>https://www.fellkost.de/static/content/e18829/e18831/e18851/e18852/e41127/image_shop1/ger/Wurst%20Wild%2001_w480_h480_q90_jpg.jpg?checksum=5beda413bcf9a48b2e44378002dadb5edaad8cfc</t>
        </is>
      </c>
      <c r="J47" s="7" t="n">
        <v>4.59</v>
      </c>
      <c r="K47" s="6" t="inlineStr"/>
      <c r="L47" s="6" t="inlineStr"/>
      <c r="M47" s="6" t="inlineStr">
        <is>
          <t>no</t>
        </is>
      </c>
      <c r="N47" s="6" t="inlineStr"/>
      <c r="O47" s="6" t="inlineStr"/>
      <c r="P47" s="6" t="inlineStr">
        <is>
          <t>ANIfit</t>
        </is>
      </c>
      <c r="Q47" s="13" t="n"/>
      <c r="R47" s="6" t="inlineStr"/>
      <c r="S47" s="6" t="inlineStr"/>
      <c r="T47" s="6" t="inlineStr">
        <is>
          <t>new</t>
        </is>
      </c>
      <c r="U47" s="6" t="inlineStr">
        <is>
          <t>no</t>
        </is>
      </c>
      <c r="V47" s="6" t="inlineStr"/>
      <c r="W47" s="6" t="inlineStr"/>
      <c r="X47" s="6" t="inlineStr"/>
      <c r="Y47" s="6" t="inlineStr"/>
      <c r="Z47" s="6" t="inlineStr"/>
      <c r="AA47" s="6" t="inlineStr"/>
      <c r="AB47" s="6" t="inlineStr"/>
      <c r="AC47" s="6" t="inlineStr"/>
      <c r="AD47" s="6" t="inlineStr"/>
      <c r="AE47" s="6" t="inlineStr"/>
      <c r="AF47" s="6" t="inlineStr"/>
      <c r="AG47" s="6" t="inlineStr"/>
      <c r="AH47" s="6" t="inlineStr"/>
      <c r="AI47" s="6" t="inlineStr"/>
      <c r="AJ47" s="6" t="inlineStr"/>
      <c r="AK47" s="6" t="inlineStr"/>
      <c r="AL47" s="3" t="n">
        <v>500</v>
      </c>
    </row>
    <row r="48">
      <c r="A48" s="3" t="n">
        <v>121245</v>
      </c>
      <c r="B48" s="14" t="inlineStr">
        <is>
          <t>Notration Schäfers Pfanne 150g | Anifit Leckerlies für Hunde</t>
        </is>
      </c>
      <c r="C48" s="13" t="inlineStr">
        <is>
          <t>Die praktische, gefriergetrocknete Variante des beliebten Menüs Schäfers Pfanne. Mit 93 % Fleisch- und Fischanteil bietet diese Mahlzeit denselben hochwertigen Nährstoffgehalt wie das Original.
Dank der entzogenen Feuchtigkeit ist die Notration bis zu 10 Jahre haltbar – ideal für Reisen, Outdoor-Abenteuer oder als langfristige Vorratsration.
Einfach mit Wasser anrühren und in wenigen Minuten genießen Hunde eine schmackhafte, artgerechte Mahlzeit.
Zubereitung
Zum Servieren mit warmen Wasser (270g Wasser auf 100g Produkt) vermischen und ein paar Minuten warten.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48" s="6" t="inlineStr">
        <is>
          <t>in_stock</t>
        </is>
      </c>
      <c r="E48" s="6" t="inlineStr"/>
      <c r="F48" s="6" t="inlineStr"/>
      <c r="G48" s="11" t="inlineStr">
        <is>
          <t>https://www.fellkost.de/content/partners/466587/shop/shop/article/121245/notration_schaefers_pfanne_150g_1_stueck_</t>
        </is>
      </c>
      <c r="H48" s="6" t="inlineStr"/>
      <c r="I48" s="13" t="inlineStr">
        <is>
          <t>https://www.fellkost.de/static/content/e18829/e18831/e18851/e18852/e97650/image_shop1/ger/Sch%C3%A4fers%20Pfanne%20Not-Ration_1_w480_h480_q90_jpg.jpg?checksum=61883669367a12848ef1bd2fb1ce559d524b0ad8</t>
        </is>
      </c>
      <c r="J48" s="7" t="n">
        <v>11.5</v>
      </c>
      <c r="K48" s="6" t="inlineStr"/>
      <c r="L48" s="6" t="inlineStr"/>
      <c r="M48" s="6" t="inlineStr">
        <is>
          <t>no</t>
        </is>
      </c>
      <c r="N48" s="6" t="inlineStr"/>
      <c r="O48" s="6" t="inlineStr"/>
      <c r="P48" s="6" t="inlineStr">
        <is>
          <t>ANIfit</t>
        </is>
      </c>
      <c r="Q48" s="13" t="n"/>
      <c r="R48" s="6" t="inlineStr"/>
      <c r="S48" s="6" t="inlineStr"/>
      <c r="T48" s="6" t="inlineStr">
        <is>
          <t>new</t>
        </is>
      </c>
      <c r="U48" s="6" t="inlineStr">
        <is>
          <t>no</t>
        </is>
      </c>
      <c r="V48" s="6" t="inlineStr"/>
      <c r="W48" s="6" t="inlineStr"/>
      <c r="X48" s="6" t="inlineStr"/>
      <c r="Y48" s="6" t="inlineStr"/>
      <c r="Z48" s="6" t="inlineStr"/>
      <c r="AA48" s="6" t="inlineStr"/>
      <c r="AB48" s="6" t="inlineStr"/>
      <c r="AC48" s="6" t="inlineStr"/>
      <c r="AD48" s="6" t="inlineStr"/>
      <c r="AE48" s="6" t="inlineStr"/>
      <c r="AF48" s="6" t="inlineStr"/>
      <c r="AG48" s="6" t="inlineStr"/>
      <c r="AH48" s="6" t="inlineStr"/>
      <c r="AI48" s="6" t="inlineStr"/>
      <c r="AJ48" s="6" t="inlineStr"/>
      <c r="AK48" s="6" t="inlineStr"/>
      <c r="AL48" s="3" t="n">
        <v>500</v>
      </c>
    </row>
    <row r="49">
      <c r="A49" s="3" t="n">
        <v>59353</v>
      </c>
      <c r="B49" s="14" t="inlineStr">
        <is>
          <t>Schonkost Huhn/Reis 50g | Anifit Leckerlies für Hunde</t>
        </is>
      </c>
      <c r="C49" s="13" t="inlineStr">
        <is>
          <t>So einfach das auch klingt, nicht jeder hat die für eine Schonkost notwendigen Zutaten zu Hause oder Zeit, ein entsprechendes Gericht zuzubereiten.
Anifit hat eine Lösung für solche Notfälle bereit, die in nur 10 Minuten servierfertig ist!
Das Gericht Schonkost „Huhn / Reis / Elektrolyte“ ist kein Alleinfuttermittel, dient also nicht der Kompletternährung, sondern ist nur für eine kurze Phase der Schonkost-Fütterung gedacht.
Es besteht aus Hühnerbrust (60 %), Reis (40%) und hat als Zusatz Elektrolyte, um rasch wieder die benötigten Mineralien zuzuführen.
Der Reis ist bereits vorgekocht und die Hühnerbrust gefriergetrocknet. Man muss das Gericht nur mehr mit heißem Wasser mischen (2,5 Portionen Wasser auf 1 Portion Gericht) und es 10 Minuten ziehen lassen.
Leicht verdaulich
Frei von Zusätzen, 100 % Natur
Besonders verträglich
Lange haltbar</t>
        </is>
      </c>
      <c r="D49" s="6" t="inlineStr">
        <is>
          <t>in_stock</t>
        </is>
      </c>
      <c r="E49" s="6" t="inlineStr"/>
      <c r="F49" s="6" t="inlineStr"/>
      <c r="G49" s="11" t="inlineStr">
        <is>
          <t>https://www.fellkost.de/content/partners/466587/shop/shop/article/59353/schonkost_huhn_reis_50g_1_stueck_</t>
        </is>
      </c>
      <c r="H49" s="6" t="inlineStr"/>
      <c r="I49" s="13" t="inlineStr">
        <is>
          <t>https://www.fellkost.de/static/content/e18829/e18831/e18851/e18852/e53792/image_shop1/ger/Schonkost%20Huhn%26Reis-1_w480_h480_q90_jpg.jpg?checksum=fae2121f81f253ead382397235bcbc012a5f089b</t>
        </is>
      </c>
      <c r="J49" s="7" t="n">
        <v>5.3</v>
      </c>
      <c r="K49" s="6" t="inlineStr"/>
      <c r="L49" s="6" t="inlineStr"/>
      <c r="M49" s="6" t="inlineStr">
        <is>
          <t>no</t>
        </is>
      </c>
      <c r="N49" s="6" t="inlineStr"/>
      <c r="O49" s="6" t="inlineStr"/>
      <c r="P49" s="6" t="inlineStr">
        <is>
          <t>ANIfit</t>
        </is>
      </c>
      <c r="Q49" s="13" t="n"/>
      <c r="R49" s="6" t="inlineStr"/>
      <c r="S49" s="6" t="inlineStr"/>
      <c r="T49" s="6" t="inlineStr">
        <is>
          <t>new</t>
        </is>
      </c>
      <c r="U49" s="6" t="inlineStr">
        <is>
          <t>no</t>
        </is>
      </c>
      <c r="V49" s="6" t="inlineStr"/>
      <c r="W49" s="6" t="inlineStr"/>
      <c r="X49" s="6" t="inlineStr"/>
      <c r="Y49" s="6" t="inlineStr"/>
      <c r="Z49" s="6" t="inlineStr"/>
      <c r="AA49" s="6" t="inlineStr"/>
      <c r="AB49" s="6" t="inlineStr"/>
      <c r="AC49" s="6" t="inlineStr"/>
      <c r="AD49" s="6" t="inlineStr"/>
      <c r="AE49" s="6" t="inlineStr"/>
      <c r="AF49" s="6" t="inlineStr"/>
      <c r="AG49" s="6" t="inlineStr"/>
      <c r="AH49" s="6" t="inlineStr"/>
      <c r="AI49" s="6" t="inlineStr"/>
      <c r="AJ49" s="6" t="inlineStr"/>
      <c r="AK49" s="6" t="inlineStr"/>
      <c r="AL49" s="3" t="n">
        <v>500</v>
      </c>
    </row>
    <row r="50">
      <c r="A50" s="3" t="n">
        <v>59355</v>
      </c>
      <c r="B50" s="14" t="inlineStr">
        <is>
          <t>Schonkost Huhn/Reis 150g | Anifit Leckerlies für Hunde</t>
        </is>
      </c>
      <c r="C50" s="13" t="inlineStr">
        <is>
          <t>So einfach das auch klingt, nicht jeder hat die für eine Schonkost notwendigen Zutaten zu Hause oder Zeit, ein entsprechendes Gericht zuzubereiten.
Anifit hat eine Lösung für solche Notfälle bereit, die in nur 10 Minuten servierfertig ist!
Das Gericht Schonkost „Huhn / Reis / Elektrolyte“ ist kein Alleinfuttermittel, dient also nicht der Kompletternährung, sondern ist nur für eine kurze Phase der Schonkost-Fütterung gedacht.
Es besteht aus Hühnerbrust (60 %), Reis (40%) und hat als Zusatz Elektrolyte, um rasch wieder die benötigten Mineralien zuzuführen.
Der Reis ist bereits vorgekocht und die Hühnerbrust gefriergetrocknet. Man muss das Gericht nur mehr mit heißem Wasser mischen (2,5 Portionen Wasser auf 1 Portion Gericht) und es 10 Minuten ziehen lassen.
Leicht verdaulich
Frei von Zusätzen, 100 % Natur
Besonders verträglich
Lange haltbar</t>
        </is>
      </c>
      <c r="D50" s="6" t="inlineStr">
        <is>
          <t>in_stock</t>
        </is>
      </c>
      <c r="E50" s="6" t="inlineStr"/>
      <c r="F50" s="6" t="inlineStr"/>
      <c r="G50" s="11" t="inlineStr">
        <is>
          <t>https://www.fellkost.de/content/partners/466587/shop/shop/article/59355/schonkost_huhn_reis_150g_1_stueck_</t>
        </is>
      </c>
      <c r="H50" s="6" t="inlineStr"/>
      <c r="I50" s="13" t="inlineStr">
        <is>
          <t>https://www.fellkost.de/static/content/e18829/e18831/e18851/e18852/e53793/image_shop1/ger/Schonkost%20Huhn%20150g_w480_h480_q90_jpg.jpg?checksum=ca5d9a0acf8f965e7d1ff77a8295183cfda87a8f</t>
        </is>
      </c>
      <c r="J50" s="7" t="n">
        <v>13.4</v>
      </c>
      <c r="K50" s="6" t="inlineStr"/>
      <c r="L50" s="6" t="inlineStr"/>
      <c r="M50" s="6" t="inlineStr">
        <is>
          <t>no</t>
        </is>
      </c>
      <c r="N50" s="6" t="inlineStr"/>
      <c r="O50" s="6" t="inlineStr"/>
      <c r="P50" s="6" t="inlineStr">
        <is>
          <t>ANIfit</t>
        </is>
      </c>
      <c r="Q50" s="13" t="n"/>
      <c r="R50" s="6" t="inlineStr"/>
      <c r="S50" s="6" t="inlineStr"/>
      <c r="T50" s="6" t="inlineStr">
        <is>
          <t>new</t>
        </is>
      </c>
      <c r="U50" s="6" t="inlineStr">
        <is>
          <t>no</t>
        </is>
      </c>
      <c r="V50" s="6" t="inlineStr"/>
      <c r="W50" s="6" t="inlineStr"/>
      <c r="X50" s="6" t="inlineStr"/>
      <c r="Y50" s="6" t="inlineStr"/>
      <c r="Z50" s="6" t="inlineStr"/>
      <c r="AA50" s="6" t="inlineStr"/>
      <c r="AB50" s="6" t="inlineStr"/>
      <c r="AC50" s="6" t="inlineStr"/>
      <c r="AD50" s="6" t="inlineStr"/>
      <c r="AE50" s="6" t="inlineStr"/>
      <c r="AF50" s="6" t="inlineStr"/>
      <c r="AG50" s="6" t="inlineStr"/>
      <c r="AH50" s="6" t="inlineStr"/>
      <c r="AI50" s="6" t="inlineStr"/>
      <c r="AJ50" s="6" t="inlineStr"/>
      <c r="AK50" s="6" t="inlineStr"/>
      <c r="AL50" s="3" t="n">
        <v>500</v>
      </c>
    </row>
    <row r="51">
      <c r="A51" s="3" t="n">
        <v>59066</v>
      </c>
      <c r="B51" s="14" t="inlineStr">
        <is>
          <t>Schonkost Hüttenkäse (Hund) Anifit Nahrungszusatz für den Hund</t>
        </is>
      </c>
      <c r="C51" s="13" t="inlineStr">
        <is>
          <t>So einfach das auch klingt, nicht jeder hat die für eine Schonkost notwendigen Zutaten zu Hause oder Zeit, ein entsprechendes Gericht zuzubereiten.
Anifit hat eine Lösung für solche Notfälle bereit, die in nur 10 Minuten servierfertig ist!
Das Gericht Schonkost „Hüttenkäse / Kartoffel / Karotte“ ist kein Alleinfuttermittel, dient also nicht der Kompletternährung, sondern ist nur für eine kurze Phase der Schonkost-Fütterung gedacht.
Als besonders leicht verdauliche Schonkost ist es fleischlos.
Man muss das Gericht nur mehr mit heißem Wasser mischen (2,5 Portionen Wasser auf 1 Portion Gericht) und es 10 Minuten ziehen lassen.
Leicht verdaulich
Frei von Zusätzen, 100 % Natur
Besonders verträglich
Lange haltbar</t>
        </is>
      </c>
      <c r="D51" s="6" t="inlineStr">
        <is>
          <t>in_stock</t>
        </is>
      </c>
      <c r="E51" s="6" t="n"/>
      <c r="F51" s="6" t="n"/>
      <c r="G51" s="11" t="inlineStr">
        <is>
          <t>https://www.fellkost.de/content/partners/466587/shop/shop/article/59066/schonkost_huettenkaese_hund_100g_1_stueck_</t>
        </is>
      </c>
      <c r="H51" s="6" t="n"/>
      <c r="I51" s="13" t="inlineStr">
        <is>
          <t>https://www.fellkost.de/static/content/e18829/e18831/e18851/e18852/e53636/image_shop1/ger/Schonkost%20H%C3%BCttenk%C3%B6se%26Kartoffel%26Karotte-1_w480_h480_q90_jpg.jpg?checksum=7f6c587787b26a9961f2b8d22babdbeea189d4fa</t>
        </is>
      </c>
      <c r="J51" s="7" t="n">
        <v>7.9</v>
      </c>
      <c r="K51" s="6" t="n"/>
      <c r="L51" s="6" t="n"/>
      <c r="M51" s="6" t="inlineStr">
        <is>
          <t>no</t>
        </is>
      </c>
      <c r="N51" s="6" t="n"/>
      <c r="O51" s="6" t="n"/>
      <c r="P51" s="6" t="inlineStr">
        <is>
          <t>ANIfit</t>
        </is>
      </c>
      <c r="Q51" s="13" t="n"/>
      <c r="R51" s="6" t="n"/>
      <c r="S51" s="6" t="n"/>
      <c r="T51" s="6" t="inlineStr">
        <is>
          <t>new</t>
        </is>
      </c>
      <c r="U51" s="6" t="inlineStr">
        <is>
          <t>no</t>
        </is>
      </c>
      <c r="V51" s="6" t="n"/>
      <c r="W51" s="6" t="n"/>
      <c r="X51" s="6" t="n"/>
      <c r="Y51" s="6" t="n"/>
      <c r="Z51" s="6" t="n"/>
      <c r="AA51" s="6" t="n"/>
      <c r="AB51" s="6" t="n"/>
      <c r="AC51" s="6" t="n"/>
      <c r="AD51" s="6" t="n"/>
      <c r="AE51" s="6" t="n"/>
      <c r="AF51" s="6" t="n"/>
      <c r="AG51" s="6" t="n"/>
      <c r="AH51" s="6" t="n"/>
      <c r="AI51" s="6" t="n"/>
      <c r="AJ51" s="6" t="n"/>
      <c r="AK51" s="6" t="n"/>
      <c r="AL51" s="3" t="n">
        <v>500</v>
      </c>
    </row>
    <row r="52">
      <c r="A52" s="3" t="n">
        <v>79338</v>
      </c>
      <c r="B52" s="14" t="inlineStr">
        <is>
          <t>Anifit-Vet Niereninsuffizienz - bei Herausforderungen mit der Niere</t>
        </is>
      </c>
      <c r="C52" s="13" t="inlineStr">
        <is>
          <t>Hunde mit Niereninsuffizienz (= Erkrankung der Niere) benötigen - in Abhängigkeit der Schwere der Erkrankung - ein speziell für diese Situation angepasstes Futtermittel, um die Niere maximal zu entlasten, dem Körper aber trotzdem mit hochwertigen und allen benötigten Nährstoffen zu versorgen.
Leicht verdaulich
Hochverdauliche, hochwertige Zutaten
Durch Gefriertrocknung werden die Nährstoffe und der Geschmack maximal erhalten
Frei von Konservierungsmitteln, Geschmacksverstärkern, Farbstoffe, Aromen
Lange haltbar
Zubereitung
Das Futter mit heißem Wasser mischen (2,5 Portionen Wasser auf 1 Portion Gericht) und 10 Minuten ziehen lassen.</t>
        </is>
      </c>
      <c r="D52" s="6" t="inlineStr">
        <is>
          <t>in_stock</t>
        </is>
      </c>
      <c r="E52" s="6" t="n"/>
      <c r="F52" s="6" t="n"/>
      <c r="G52" s="11" t="inlineStr">
        <is>
          <t>https://www.fellkost.de/content/partners/466587/shop/shop/article/79338/anifit-vet_niereninsuffizienz_200g_1_stueck_</t>
        </is>
      </c>
      <c r="H52" s="6" t="n"/>
      <c r="I52" s="13" t="inlineStr">
        <is>
          <t>https://www.fellkost.de/static/content/e18829/e18831/e18851/e18852/e69236/image_shop1/ger/Niereninsuffizienz_w480_h480_q90_jpg.jpg?checksum=a72d81482cd7d5e6756a88e2a99bf84faaa12ddd</t>
        </is>
      </c>
      <c r="J52" s="7" t="n">
        <v>10.2</v>
      </c>
      <c r="K52" s="6" t="n"/>
      <c r="L52" s="6" t="n"/>
      <c r="M52" s="6" t="inlineStr">
        <is>
          <t>no</t>
        </is>
      </c>
      <c r="N52" s="6" t="n"/>
      <c r="O52" s="6" t="n"/>
      <c r="P52" s="6" t="inlineStr">
        <is>
          <t>ANIfit</t>
        </is>
      </c>
      <c r="Q52" s="14" t="n"/>
      <c r="R52" s="6" t="n"/>
      <c r="S52" s="6" t="n"/>
      <c r="T52" s="6" t="inlineStr">
        <is>
          <t>new</t>
        </is>
      </c>
      <c r="U52" s="6" t="inlineStr">
        <is>
          <t>no</t>
        </is>
      </c>
      <c r="V52" s="6" t="n"/>
      <c r="W52" s="6" t="n"/>
      <c r="X52" s="6" t="n"/>
      <c r="Y52" s="6" t="n"/>
      <c r="Z52" s="6" t="n"/>
      <c r="AA52" s="6" t="n"/>
      <c r="AB52" s="6" t="n"/>
      <c r="AC52" s="6" t="n"/>
      <c r="AD52" s="6" t="n"/>
      <c r="AE52" s="6" t="n"/>
      <c r="AF52" s="6" t="n"/>
      <c r="AG52" s="6" t="n"/>
      <c r="AH52" s="6" t="n"/>
      <c r="AI52" s="6" t="n"/>
      <c r="AJ52" s="6" t="n"/>
      <c r="AK52" s="6" t="n"/>
      <c r="AL52" s="3" t="n">
        <v>500</v>
      </c>
    </row>
    <row r="53">
      <c r="A53" s="3" t="n">
        <v>49101</v>
      </c>
      <c r="B53" s="14" t="inlineStr">
        <is>
          <t>Anifit Kartoffelflocke 800g  | Anifit Futterflocken für Hunde Nassfutter</t>
        </is>
      </c>
      <c r="C53" s="13" t="inlineStr">
        <is>
          <t>Mit den Anifit Kartoffelflocken können Sie den Ausgleich zum tatsächlichen Bedarf Ihres Lieblings schaffen und das Tier optimal mit Nährstoffen und Ballaststoffen versorgen.
Wie bei Pop-corn wurden die Kartoffel in einer Art Schnellkochtopfverfahren für ein paar Sekunden behandelt, damit die Stärke aufgeschlossen ist und die Kartoffel von den Hunden gut verdaut werden kann.
Die Kartoffelflocken sind glutenfrei und eignen sich daher als „reizarme“ Ergänzungsnahrung besonders für sensible Tiere.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Die Anifit Kartoffelflocken eignen sich gut, um den hohen Proteingehalt der Anifit Nahrung in den ersten Wochen der Nahrungsumstellung zu reduzieren.
Zubereitung
Die Kartoffelflocken der Anifit Frischfleischnahrung untermischen. Zur optimalen Verdauung die Flocken vor der Fütterung mit heißem Wasser übergießen und 3-5 Minuten ziehen lassen.</t>
        </is>
      </c>
      <c r="D53" s="6" t="inlineStr">
        <is>
          <t>in_stock</t>
        </is>
      </c>
      <c r="E53" s="6" t="n"/>
      <c r="F53" s="6" t="n"/>
      <c r="G53" s="11" t="inlineStr">
        <is>
          <t>https://www.fellkost.de/content/partners/466587/shop/shop/article/49101/kartoffelflocke_800g_1_stueck_?category=62192</t>
        </is>
      </c>
      <c r="H53" s="6" t="n"/>
      <c r="I53" s="13" t="inlineStr">
        <is>
          <t>https://www.fellkost.de/static/content/e18829/e18831/e18851/e56197/e47416/image_shop1/ger/Kartoffelflocke-1_w480_h480_q90_jpg.jpg?checksum=91f657b85aab71117a586707e0d4504d855683e0</t>
        </is>
      </c>
      <c r="J53" s="7" t="n">
        <v>7.79</v>
      </c>
      <c r="K53" s="6" t="n"/>
      <c r="L53" s="6" t="n"/>
      <c r="M53" s="6" t="inlineStr">
        <is>
          <t>no</t>
        </is>
      </c>
      <c r="N53" s="6" t="n"/>
      <c r="O53" s="6" t="n"/>
      <c r="P53" s="6" t="inlineStr">
        <is>
          <t>ANIfit</t>
        </is>
      </c>
      <c r="Q53" s="6" t="n"/>
      <c r="R53" s="6" t="n"/>
      <c r="S53" s="6" t="n"/>
      <c r="T53" s="6" t="inlineStr">
        <is>
          <t>new</t>
        </is>
      </c>
      <c r="U53" s="6" t="inlineStr">
        <is>
          <t>no</t>
        </is>
      </c>
      <c r="V53" s="6" t="n"/>
      <c r="W53" s="6" t="n"/>
      <c r="X53" s="6" t="n"/>
      <c r="Y53" s="6" t="n"/>
      <c r="Z53" s="6" t="n"/>
      <c r="AA53" s="6" t="n"/>
      <c r="AB53" s="6" t="n"/>
      <c r="AC53" s="6" t="n"/>
      <c r="AD53" s="6" t="n"/>
      <c r="AE53" s="6" t="n"/>
      <c r="AF53" s="6" t="n"/>
      <c r="AG53" s="6" t="n"/>
      <c r="AH53" s="6" t="n"/>
      <c r="AI53" s="6" t="n"/>
      <c r="AJ53" s="6" t="n"/>
      <c r="AK53" s="6" t="n"/>
      <c r="AL53" s="3" t="n">
        <v>500</v>
      </c>
    </row>
    <row r="54">
      <c r="A54" s="3" t="n">
        <v>11306</v>
      </c>
      <c r="B54" s="14" t="inlineStr">
        <is>
          <t>Anifit Gemüse-Mix 650g  | Anifit Futterflocken für Hunde Nassfutter</t>
        </is>
      </c>
      <c r="C54" s="13" t="inlineStr">
        <is>
          <t>Mit dem Anifit Gemüse-Mix können Sie den Ausgleich zum tatsächlichen Bedarf Ihres Lieblings schaffen und das Tier optimal mit Nährstoffen und Ballaststoffen versorgen.
Der Gemüse-Mix besteht nur aus Gemüsebestandteilen und ist frei von Getreide. Die vielen pflanzlichen Stoffe (Phytamine) sind wertvolle Nährstoffe für Ihren Hund.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Der Anifit Gemüse-Mix eignet sich gut, um den hohen Proteingehalt der Anifit Nahrung in den ersten Wochen der Nahrungsumstellung zu reduzieren.
Zubereitung
Die Gemüseflocken der Anifit Frischfleischnahrung untermischen. Zur optimalen Verdauung die Flocken vor der Fütterung mit heißem Wasser übergießen und 3-5 Minuten ziehen lassen.</t>
        </is>
      </c>
      <c r="D54" s="6" t="inlineStr">
        <is>
          <t>in_stock</t>
        </is>
      </c>
      <c r="E54" s="6" t="n"/>
      <c r="F54" s="6" t="n"/>
      <c r="G54" s="11" t="inlineStr">
        <is>
          <t>https://www.fellkost.de/content/partners/466587/shop/shop/article/11306/gemuese-mix_650g_1_stueck_?category=62192</t>
        </is>
      </c>
      <c r="H54" s="6" t="n"/>
      <c r="I54" s="13" t="inlineStr">
        <is>
          <t>https://www.fellkost.de/static/content/e18829/e18831/e18851/e56197/e18926/image_shop1/ger/Gem%C3%BCse-Mix-1_w480_h480_q90_jpg.jpg?checksum=99b4ff16aed3c18a56663ef087547180f0b33fc0</t>
        </is>
      </c>
      <c r="J54" s="7" t="n">
        <v>12.19</v>
      </c>
      <c r="K54" s="6" t="n"/>
      <c r="L54" s="6" t="n"/>
      <c r="M54" s="6" t="inlineStr">
        <is>
          <t>no</t>
        </is>
      </c>
      <c r="N54" s="6" t="n"/>
      <c r="O54" s="6" t="n"/>
      <c r="P54" s="6" t="inlineStr">
        <is>
          <t>ANIfit</t>
        </is>
      </c>
      <c r="Q54" s="13" t="n"/>
      <c r="R54" s="6" t="n"/>
      <c r="S54" s="6" t="n"/>
      <c r="T54" s="6" t="inlineStr">
        <is>
          <t>new</t>
        </is>
      </c>
      <c r="U54" s="6" t="inlineStr">
        <is>
          <t>no</t>
        </is>
      </c>
      <c r="V54" s="6" t="n"/>
      <c r="W54" s="6" t="n"/>
      <c r="X54" s="6" t="n"/>
      <c r="Y54" s="6" t="n"/>
      <c r="Z54" s="6" t="n"/>
      <c r="AA54" s="6" t="n"/>
      <c r="AB54" s="6" t="n"/>
      <c r="AC54" s="6" t="n"/>
      <c r="AD54" s="6" t="n"/>
      <c r="AE54" s="6" t="n"/>
      <c r="AF54" s="6" t="n"/>
      <c r="AG54" s="6" t="n"/>
      <c r="AH54" s="6" t="n"/>
      <c r="AI54" s="6" t="n"/>
      <c r="AJ54" s="6" t="n"/>
      <c r="AK54" s="6" t="n"/>
      <c r="AL54" s="3" t="n">
        <v>500</v>
      </c>
    </row>
    <row r="55">
      <c r="A55" s="3" t="n">
        <v>11305</v>
      </c>
      <c r="B55" s="14" t="inlineStr">
        <is>
          <t>Anifit Gemüse-Mix 12,5 kg  | Anifit Futterflocken für Hunde Nassfutter</t>
        </is>
      </c>
      <c r="C55" s="13" t="inlineStr">
        <is>
          <t>Mit dem Anifit Gemüse-Mix können Sie den Ausgleich zum tatsächlichen Bedarf Ihres Lieblings schaffen und das Tier optimal mit Nährstoffen und Ballaststoffen versorgen.
Der Gemüse-Mix besteht nur aus Gemüsebestandteilen und ist frei von Getreide. Die vielen pflanzlichen Stoffe (Phytamine) sind wertvolle Nährstoffe für Ihren Hund.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Der Anifit Gemüse-Mix eignet sich gut, um den hohen Proteingehalt der Anifit Nahrung in den ersten Wochen der Nahrungsumstellung zu reduzieren.
Zubereitung
Die Gemüseflocken der Anifit Frischfleischnahrung untermischen. Zur optimalen Verdauung die Flocken vor der Fütterung mit heißem Wasser übergießen und 3-5 Minuten ziehen lassen.</t>
        </is>
      </c>
      <c r="D55" s="6" t="inlineStr">
        <is>
          <t>in_stock</t>
        </is>
      </c>
      <c r="E55" s="6" t="n"/>
      <c r="F55" s="6" t="n"/>
      <c r="G55" s="11" t="inlineStr">
        <is>
          <t>https://www.fellkost.de/content/partners/466587/shop/shop/article/11305/gemuese-mix_12_5_kg_1_stueck_</t>
        </is>
      </c>
      <c r="H55" s="6" t="n"/>
      <c r="I55" s="13" t="inlineStr">
        <is>
          <t>https://www.fellkost.de/static/content/e18829/e18831/e18851/e56197/e18925/image_shop1/ger/Gemuese_Mix-4_w480_h480_q90_jpg.jpg?checksum=67fb684a6d25979654814d741c0ee38a7c6b8e2f</t>
        </is>
      </c>
      <c r="J55" s="7" t="n">
        <v>138</v>
      </c>
      <c r="K55" s="6" t="n"/>
      <c r="L55" s="6" t="n"/>
      <c r="M55" s="6" t="inlineStr">
        <is>
          <t>no</t>
        </is>
      </c>
      <c r="N55" s="6" t="n"/>
      <c r="O55" s="6" t="n"/>
      <c r="P55" s="6" t="inlineStr">
        <is>
          <t>ANIfit</t>
        </is>
      </c>
      <c r="Q55" s="13" t="n"/>
      <c r="R55" s="6" t="n"/>
      <c r="S55" s="6" t="n"/>
      <c r="T55" s="6" t="inlineStr">
        <is>
          <t>new</t>
        </is>
      </c>
      <c r="U55" s="6" t="inlineStr">
        <is>
          <t>no</t>
        </is>
      </c>
      <c r="V55" s="6" t="n"/>
      <c r="W55" s="6" t="n"/>
      <c r="X55" s="6" t="n"/>
      <c r="Y55" s="6" t="n"/>
      <c r="Z55" s="6" t="n"/>
      <c r="AA55" s="6" t="n"/>
      <c r="AB55" s="6" t="n"/>
      <c r="AC55" s="6" t="n"/>
      <c r="AD55" s="6" t="n"/>
      <c r="AE55" s="6" t="n"/>
      <c r="AF55" s="6" t="n"/>
      <c r="AG55" s="6" t="n"/>
      <c r="AH55" s="6" t="n"/>
      <c r="AI55" s="6" t="n"/>
      <c r="AJ55" s="6" t="n"/>
      <c r="AK55" s="6" t="n"/>
      <c r="AL55" s="3" t="n">
        <v>500</v>
      </c>
    </row>
    <row r="56">
      <c r="A56" s="3" t="n">
        <v>60490</v>
      </c>
      <c r="B56" s="14" t="inlineStr">
        <is>
          <t>Anifit Karottenflocke 600g  | Anifit Futterflocken für Hunde Nassfutter</t>
        </is>
      </c>
      <c r="C56" s="13" t="inlineStr">
        <is>
          <t>Mit den Anifit Karottenflocken können Sie den Ausgleich zum tatsächlichen Bedarf Ihres Lieblings schaffen und das Tier optimal mit Nährstoffen und Ballaststoffen versorgen.
Wie bei Pop-corn wurden die Karotten in einer Art Schnellkochtopfverfahren für ein paar Sekunden behandelt, damit die Stärke aufgeschlossen ist und die Karotten von den Hunden gut verdaut werden können.
Die Karottenflocken sind glutenfrei und eignen sich daher als „reizarme“ Ergänzungsnahrung besonders für sensible Tiere.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Die Anifit Karottenflocken eignen sich gut, um den hohen Proteingehalt der Anifit Nahrung in den ersten Wochen der Nahrungsumstellung zu reduzieren.
Zubereitung
Die Karottenflocken der Anifit Frischfleischnahrung untermischen. Zur optimalen Verdauung die Flocken vor der Fütterung mit heißem Wasser übergießen und 3-5 Minuten ziehen lassen.</t>
        </is>
      </c>
      <c r="D56" s="6" t="inlineStr">
        <is>
          <t>in_stock</t>
        </is>
      </c>
      <c r="E56" s="6" t="n"/>
      <c r="F56" s="6" t="n"/>
      <c r="G56" s="11" t="inlineStr">
        <is>
          <t>https://www.fellkost.de/content/partners/466587/shop/shop/article/60490/karottenflocke_600g_1_stueck_?category=62192</t>
        </is>
      </c>
      <c r="H56" s="6" t="n"/>
      <c r="I56" s="13" t="inlineStr">
        <is>
          <t>https://www.fellkost.de/static/content/e18829/e18831/e18851/e56197/e54686/image_shop1/ger/Karottenflocken%20600g-1_w480_h480_q90_jpg.jpg?checksum=0e37ea698c46b182c73ef2c2d4be413b499811c0</t>
        </is>
      </c>
      <c r="J56" s="7" t="n">
        <v>9.59</v>
      </c>
      <c r="K56" s="6" t="n"/>
      <c r="L56" s="6" t="n"/>
      <c r="M56" s="6" t="inlineStr">
        <is>
          <t>no</t>
        </is>
      </c>
      <c r="N56" s="6" t="n"/>
      <c r="O56" s="6" t="n"/>
      <c r="P56" s="6" t="inlineStr">
        <is>
          <t>ANIfit</t>
        </is>
      </c>
      <c r="Q56" s="13" t="n"/>
      <c r="R56" s="6" t="n"/>
      <c r="S56" s="6" t="n"/>
      <c r="T56" s="6" t="inlineStr">
        <is>
          <t>new</t>
        </is>
      </c>
      <c r="U56" s="6" t="inlineStr">
        <is>
          <t>no</t>
        </is>
      </c>
      <c r="V56" s="6" t="n"/>
      <c r="W56" s="6" t="n"/>
      <c r="X56" s="6" t="n"/>
      <c r="Y56" s="6" t="n"/>
      <c r="Z56" s="6" t="n"/>
      <c r="AA56" s="6" t="n"/>
      <c r="AB56" s="6" t="n"/>
      <c r="AC56" s="6" t="n"/>
      <c r="AD56" s="6" t="n"/>
      <c r="AE56" s="6" t="n"/>
      <c r="AF56" s="6" t="n"/>
      <c r="AG56" s="6" t="n"/>
      <c r="AH56" s="6" t="n"/>
      <c r="AI56" s="6" t="n"/>
      <c r="AJ56" s="6" t="n"/>
      <c r="AK56" s="6" t="n"/>
      <c r="AL56" s="3" t="n">
        <v>500</v>
      </c>
    </row>
    <row r="57">
      <c r="A57" s="3" t="n">
        <v>11313</v>
      </c>
      <c r="B57" s="14" t="inlineStr">
        <is>
          <t>Reis-Pops 750g  | Anifit Zusatzprodukte für Hunde Nassfutter</t>
        </is>
      </c>
      <c r="C57" s="13" t="inlineStr">
        <is>
          <t>Mit den Anifit Reis-Pops können Sie den Ausgleich zum tatsächlichen Bedarf Ihres Lieblings schaffen und das Tier optimal mit Nährstoffen und Ballaststoffen versorgen.
Wie bei Pop-corn werden die Körner (Reis und Hirse) in einer Art Schnellkochtopfverfahren behandelt, die harte Schale wird aufgebrochen. Der Inhalt des Korns kann dann vom Darm des Tieres verarbeitet werden. Ohne diese Behandlung würden das Reis- und Hirsekorn unverdaut wieder ausgeschieden werden.
Die Reis-Pops sind glutenfrei und eignen sich daher als „reizarme“ Ergänzungsnahrung besonders für sensible Tiere.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Die Anifit Reis-Pops eignen sich gut, um den hohen Proteingehalt der Anifit Nahrung in den ersten Wochen der Nahrungsumstellung zu reduzieren.
Zubereitung
Die Reis-Pops der Anifit Frischfleischnahrung untermischen. Zur optimalen Verdauung die Flocken vor der Fütterung mit heißem Wasser übergießen und 3-5 Minuten ziehen lassen.</t>
        </is>
      </c>
      <c r="D57" s="6" t="inlineStr">
        <is>
          <t>in_stock</t>
        </is>
      </c>
      <c r="E57" s="6" t="n"/>
      <c r="F57" s="6" t="n"/>
      <c r="G57" s="11" t="inlineStr">
        <is>
          <t>https://www.fellkost.de/content/partners/466587/shop/shop/article/11313/reis-pops_750g_1_stueck_?category=62192</t>
        </is>
      </c>
      <c r="H57" s="6" t="n"/>
      <c r="I57" s="13" t="inlineStr">
        <is>
          <t>https://www.fellkost.de/static/content/e18829/e18831/e18851/e56197/e18933/image_shop1/ger/Reispops_w480_h480_q90_jpg.jpg?checksum=70eafcf6755e29ce88799de2be3939ab637fb143</t>
        </is>
      </c>
      <c r="J57" s="7" t="n">
        <v>10.49</v>
      </c>
      <c r="K57" s="6" t="n"/>
      <c r="L57" s="6" t="n"/>
      <c r="M57" s="6" t="inlineStr">
        <is>
          <t>no</t>
        </is>
      </c>
      <c r="N57" s="6" t="n"/>
      <c r="O57" s="6" t="n"/>
      <c r="P57" s="6" t="inlineStr">
        <is>
          <t>ANIfit</t>
        </is>
      </c>
      <c r="Q57" s="13" t="n"/>
      <c r="R57" s="6" t="n"/>
      <c r="S57" s="6" t="n"/>
      <c r="T57" s="6" t="inlineStr">
        <is>
          <t>new</t>
        </is>
      </c>
      <c r="U57" s="6" t="inlineStr">
        <is>
          <t>no</t>
        </is>
      </c>
      <c r="V57" s="6" t="n"/>
      <c r="W57" s="6" t="n"/>
      <c r="X57" s="6" t="n"/>
      <c r="Y57" s="6" t="n"/>
      <c r="Z57" s="6" t="n"/>
      <c r="AA57" s="6" t="n"/>
      <c r="AB57" s="6" t="n"/>
      <c r="AC57" s="6" t="n"/>
      <c r="AD57" s="6" t="n"/>
      <c r="AE57" s="6" t="n"/>
      <c r="AF57" s="6" t="n"/>
      <c r="AG57" s="6" t="n"/>
      <c r="AH57" s="6" t="n"/>
      <c r="AI57" s="6" t="n"/>
      <c r="AJ57" s="6" t="n"/>
      <c r="AK57" s="6" t="n"/>
      <c r="AL57" s="3" t="n">
        <v>500</v>
      </c>
    </row>
    <row r="58">
      <c r="A58" s="3" t="n">
        <v>11314</v>
      </c>
      <c r="B58" s="14" t="inlineStr">
        <is>
          <t>Anifit Naturflocke  1kg | Anifit Futterflocken für Hunde Nassfutter</t>
        </is>
      </c>
      <c r="C58" s="13" t="inlineStr">
        <is>
          <t>Mit den Anifit Naturflocken können Sie den Ausgleich zum tatsächlichen Bedarf Ihres Lieblings schaffen und das Tier optimal mit Nährstoffen und Ballaststoffen versorgen.
Wie bei Pop-corn werden die Körner (Weizen, Reis und Hirse) in einer Art Schnellkochtopfverfahren behandelt, die harte Schale wird aufgebrochen. Der Inhalt des Korns kann dann vom Darm des Tieres verarbeitet werden. Ohne diese Behandlung würden das Weizenkorn und der Reis unverdaut wieder ausgeschieden werden.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Die Anifit Naturflocken eignen sich gut, um den hohen Proteingehalt der Anifit Nahrung in den ersten Wochen der Nahrungsumstellung zu reduzieren.
Zubereitung
Die Naturflocken der Anifit Frischfleischnahrung untermischen. Zur optimalen Verdauung die Flocken vor der Fütterung mit heißem Wasser übergießen und 3-5 Minuten ziehen lassen.</t>
        </is>
      </c>
      <c r="D58" s="6" t="inlineStr">
        <is>
          <t>in_stock</t>
        </is>
      </c>
      <c r="E58" s="6" t="n"/>
      <c r="F58" s="6" t="n"/>
      <c r="G58" s="11" t="inlineStr">
        <is>
          <t>https://www.fellkost.de/content/partners/466587/shop/shop/article/11314/naturflocke_1_kg_1_stueck_?category=62192</t>
        </is>
      </c>
      <c r="H58" s="6" t="n"/>
      <c r="I58" s="13" t="inlineStr">
        <is>
          <t>https://www.fellkost.de/static/content/e18829/e18831/e18851/e56197/e18934/image_shop1/ger/Naturflocken_w480_h480_q90_jpg.jpg?checksum=d14b00e32f32f0033a232cf3cda25a4f8547d87b</t>
        </is>
      </c>
      <c r="J58" s="7" t="n">
        <v>5.99</v>
      </c>
      <c r="K58" s="6" t="n"/>
      <c r="L58" s="6" t="n"/>
      <c r="M58" s="6" t="inlineStr">
        <is>
          <t>no</t>
        </is>
      </c>
      <c r="N58" s="6" t="n"/>
      <c r="O58" s="6" t="n"/>
      <c r="P58" s="6" t="inlineStr">
        <is>
          <t>ANIfit</t>
        </is>
      </c>
      <c r="Q58" s="13" t="n"/>
      <c r="R58" s="6" t="n"/>
      <c r="S58" s="6" t="n"/>
      <c r="T58" s="6" t="inlineStr">
        <is>
          <t>new</t>
        </is>
      </c>
      <c r="U58" s="6" t="inlineStr">
        <is>
          <t>no</t>
        </is>
      </c>
      <c r="V58" s="6" t="n"/>
      <c r="W58" s="6" t="n"/>
      <c r="X58" s="6" t="n"/>
      <c r="Y58" s="6" t="n"/>
      <c r="Z58" s="6" t="n"/>
      <c r="AA58" s="6" t="n"/>
      <c r="AB58" s="6" t="n"/>
      <c r="AC58" s="6" t="n"/>
      <c r="AD58" s="6" t="n"/>
      <c r="AE58" s="6" t="n"/>
      <c r="AF58" s="6" t="n"/>
      <c r="AG58" s="6" t="n"/>
      <c r="AH58" s="6" t="n"/>
      <c r="AI58" s="6" t="n"/>
      <c r="AJ58" s="6" t="n"/>
      <c r="AK58" s="6" t="n"/>
      <c r="AL58" s="3" t="n">
        <v>500</v>
      </c>
    </row>
    <row r="59">
      <c r="A59" s="3" t="n">
        <v>11316</v>
      </c>
      <c r="B59" s="14" t="inlineStr">
        <is>
          <t>Anifit Naturflocke  10kg | Anifit Futterflocken für Hunde Nassfutter</t>
        </is>
      </c>
      <c r="C59" s="13" t="inlineStr">
        <is>
          <t>Mit den Anifit Naturflocken können Sie den Ausgleich zum tatsächlichen Bedarf Ihres Lieblings schaffen und das Tier optimal mit Nährstoffen und Ballaststoffen versorgen.
Wie bei Pop-corn werden die Körner (Weizen, Reis und Hirse) in einer Art Schnellkochtopfverfahren behandelt, die harte Schale wird aufgebrochen. Der Inhalt des Korns kann dann vom Darm des Tieres verarbeitet werden. Ohne diese Behandlung würden das Weizenkorn und der Reis unverdaut wieder ausgeschieden werden.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Die Anifit Naturflocken eignen sich gut, um den hohen Proteingehalt der Anifit Nahrung in den ersten Wochen der Nahrungsumstellung zu reduzieren.
Zubereitung
Die Naturflocken der Anifit Frischfleischnahrung untermischen. Zur optimalen Verdauung die Flocken vor der Fütterung mit heißem Wasser übergießen und 3-5 Minuten ziehen lassen.</t>
        </is>
      </c>
      <c r="D59" s="6" t="inlineStr">
        <is>
          <t>in_stock</t>
        </is>
      </c>
      <c r="E59" s="6" t="n"/>
      <c r="F59" s="6" t="n"/>
      <c r="G59" s="11" t="inlineStr">
        <is>
          <t>https://www.fellkost.de/content/partners/466587/shop/shop/article/11316/naturflocke_10_kg_1_stueck_</t>
        </is>
      </c>
      <c r="H59" s="6" t="n"/>
      <c r="I59" s="13" t="inlineStr">
        <is>
          <t>https://www.fellkost.de/static/content/e18829/e18831/e18851/e56197/e18936/image_shop1/ger/Naturflocken%2010%20kg-1_w480_h480_q90_png.png?checksum=c5f1c5eaf072909592e0f836c828075b62612266</t>
        </is>
      </c>
      <c r="J59" s="7" t="n">
        <v>52</v>
      </c>
      <c r="K59" s="6" t="n"/>
      <c r="L59" s="6" t="n"/>
      <c r="M59" s="6" t="inlineStr">
        <is>
          <t>no</t>
        </is>
      </c>
      <c r="N59" s="6" t="n"/>
      <c r="O59" s="6" t="n"/>
      <c r="P59" s="6" t="inlineStr">
        <is>
          <t>ANIfit</t>
        </is>
      </c>
      <c r="Q59" s="13" t="n"/>
      <c r="R59" s="6" t="n"/>
      <c r="S59" s="6" t="n"/>
      <c r="T59" s="6" t="inlineStr">
        <is>
          <t>new</t>
        </is>
      </c>
      <c r="U59" s="6" t="inlineStr">
        <is>
          <t>no</t>
        </is>
      </c>
      <c r="V59" s="6" t="n"/>
      <c r="W59" s="6" t="n"/>
      <c r="X59" s="6" t="n"/>
      <c r="Y59" s="6" t="n"/>
      <c r="Z59" s="6" t="n"/>
      <c r="AA59" s="6" t="n"/>
      <c r="AB59" s="6" t="n"/>
      <c r="AC59" s="6" t="n"/>
      <c r="AD59" s="6" t="n"/>
      <c r="AE59" s="6" t="n"/>
      <c r="AF59" s="6" t="n"/>
      <c r="AG59" s="6" t="n"/>
      <c r="AH59" s="6" t="n"/>
      <c r="AI59" s="6" t="n"/>
      <c r="AJ59" s="6" t="n"/>
      <c r="AK59" s="6" t="n"/>
      <c r="AL59" s="3" t="n">
        <v>500</v>
      </c>
    </row>
    <row r="60">
      <c r="A60" s="3" t="n">
        <v>49099</v>
      </c>
      <c r="B60" s="14" t="inlineStr">
        <is>
          <t>Apfelflocke 400g  | Anifit Zusatzprodukte für Hunde Nassfutter</t>
        </is>
      </c>
      <c r="C60" s="13" t="inlineStr">
        <is>
          <t>Mit den Anifit Apfelflocke können Sie den Ausgleich zum tatsächlichen Bedarf Ihres Lieblings schaffen und das Tier optimal mit Nährstoffen und Ballaststoffen versorgen.
Das Besondere an der Apfelflocke ist seine Eigenschaft, dass es keine Stärke enthält. Die Apfelflocke ist daher für Hunde empfehlenswert, die Schwierigkeiten bei der Verdauung von Stärke haben.
Die Apfelflocken sind glutenfrei und eignen sich daher als „reizarme“ Ergänzungsnahrung besonders für sensible Tiere.
Frei von Konservierungsstoffen, Geschmacksverstärkern und Farbstoffen
Tipp: Futterumstellung
Die Verdauung von Tieren, die länger mit Trockennahrung ernährt wurden, und Tiere, die lange ein Futter mit einem sehr geringen Fleischanteil erhalten haben, brauchen ein wenig Zeit, um sich wieder dem normalen (hohen) Fleischanteil der Anifit Nahrung anzupassen. Die Anifit Apfelflocken eignen sich gut, um den hohen Proteingehalt der Anifit Nahrung in den ersten Wochen der Nahrungsumstellung zu reduzieren.
Zubereitung
Die Apfelflocken der Anifit Frischfleischnahrung untermischen. Zur optimalen Verdauung die Flocken vor der Fütterung mit heißem Wasser übergießen und 3-5 Minuten ziehen lassen.</t>
        </is>
      </c>
      <c r="D60" s="6" t="inlineStr">
        <is>
          <t>in_stock</t>
        </is>
      </c>
      <c r="E60" s="6" t="n"/>
      <c r="F60" s="6" t="n"/>
      <c r="G60" s="11" t="inlineStr">
        <is>
          <t>https://www.fellkost.de/content/partners/466587/shop/shop/article/49099/apfelflocke_400g_1_stueck_?category=62192</t>
        </is>
      </c>
      <c r="H60" s="6" t="n"/>
      <c r="I60" s="13" t="inlineStr">
        <is>
          <t>https://www.fellkost.de/static/content/e18829/e18831/e18851/e56197/e47415/image_shop1/ger/Apfelflocke_1_w480_h480_q90_jpg.jpg?checksum=fe4fe9ffb106ea261f02991ea7530ab728116af1</t>
        </is>
      </c>
      <c r="J60" s="7" t="n">
        <v>9.49</v>
      </c>
      <c r="K60" s="6" t="n"/>
      <c r="L60" s="6" t="n"/>
      <c r="M60" s="6" t="inlineStr">
        <is>
          <t>no</t>
        </is>
      </c>
      <c r="N60" s="6" t="n"/>
      <c r="O60" s="6" t="n"/>
      <c r="P60" s="6" t="inlineStr">
        <is>
          <t>ANIfit</t>
        </is>
      </c>
      <c r="Q60" s="13" t="n"/>
      <c r="R60" s="6" t="n"/>
      <c r="S60" s="6" t="n"/>
      <c r="T60" s="6" t="inlineStr">
        <is>
          <t>new</t>
        </is>
      </c>
      <c r="U60" s="6" t="inlineStr">
        <is>
          <t>no</t>
        </is>
      </c>
      <c r="V60" s="6" t="n"/>
      <c r="W60" s="6" t="n"/>
      <c r="X60" s="6" t="n"/>
      <c r="Y60" s="6" t="n"/>
      <c r="Z60" s="6" t="n"/>
      <c r="AA60" s="6" t="n"/>
      <c r="AB60" s="6" t="n"/>
      <c r="AC60" s="6" t="n"/>
      <c r="AD60" s="6" t="n"/>
      <c r="AE60" s="6" t="n"/>
      <c r="AF60" s="6" t="n"/>
      <c r="AG60" s="6" t="n"/>
      <c r="AH60" s="6" t="n"/>
      <c r="AI60" s="6" t="n"/>
      <c r="AJ60" s="6" t="n"/>
      <c r="AK60" s="6" t="n"/>
      <c r="AL60" s="3" t="n">
        <v>500</v>
      </c>
    </row>
    <row r="61">
      <c r="A61" s="3" t="n">
        <v>405778</v>
      </c>
      <c r="B61" s="14" t="inlineStr">
        <is>
          <t>RyDog Fleisch-Flocke Hirsch - Trockenfutter ANIfit für Hunde - 1.5kg</t>
        </is>
      </c>
      <c r="C61" s="13" t="inlineStr">
        <is>
          <t>Die RyDog Fleisch-Flocke Hirsch ist die ideale Wahl für Hunde, die eine hochwertiges und bekömmliches Leckerlie genießen möchten oder als Trockenmahlzeit (Alleinfuttermittel).
Dank der schonenden Kaltpressung bleiben wichtige Nährstoffe und Vitamine erhalten, die die zum Beispiel durch hohe Temperaturen beim Backen verloren gehen würden.
Das Ergebnis: ein trockenes, gut verdauliches Hundefutter.
Zusammensetzung 
30 % Hirsch-Trockenfleisch: Eine magere, leicht verdauliche Eiweißquelle mit essenziellen Aminosäuren.
24 % Süßkartoffel: Reich an Ballaststoffen und Energie, ideal für eine geregelte Verdauung.
23 % Hirse: Liefert wichtige Mineralstoffe wie Magnesium und fördert die Knochengesundheit. Hirse ist glutenfrei.
Weitere Zutaten:
Apfel: Für natürliche Vitamine und eine sanfte Unterstützung der Verdauung.
Hanföl und Wildfischöl: Hochwertige Omega-3- und Omega-6-Fettsäuren für Haut- und Fellgesundheit.
Kürbis und Rote Beete: Ballaststoffreich und gut für eine gesunde Darmflora.
Johannisbeeren und Hagebutte: Natürliche Antioxidantien zur Unterstützung des Immunsystems.
Algen und Mariendistel: Zur Förderung der Entgiftung und zur Versorgung mit natürlichen Spurenelementen.
Leinsaat: Reich an Omega-3-Fettsäuren und unterstützend für die Verdauung.
Zusatzstoffe – Für eine optimale Nährstoffversorgung
Die ernährungsphysiologischen Zusatzstoffe stellen sicher, dass der Hund alle lebensnotwendigen Vitamine und Spurenelemente eines Alleinfuttermittels erhält:
Vitamine:
Vitamin A: 10.000 IE (für die Sehkraft und das Immunsystem)
Vitamin D3: 1.000 IE (für Knochen und Zähne)
Vitamin E: 200 mg (als Antioxidans für Zellschutz)
Vitamin C: 140 mg (stärkt die Immunabwehr)
Vitamin B-Komplex (B1, B2, B6, B12, Niacin, Folsäure, Biotin): Fördert Stoffwechsel, Nerven und Hautgesundheit.
Spurenelemente:
Zink: 62,5 mg (für Fell und Hautgesundheit)
Kupfer: 16 mg (fördert die Pigmentierung und Enzymfunktion)
Mangan: 52 mg (für den Knorpelaufbau)
Selen: 150 mcg (für Zellschutz und Entgiftung)
Jod: 0,3 mg (für die Schilddrüsenfunktion)
Warum Kaltpressung? – Die Vorteile auf einen Blick
Hohe Nährstoffqualität: Durch Temperaturen von nur 40 - 75 °C bleiben hitzeempfindliche Vitamine (z. B. Vitamin A und B-Vitamine) sowie ungesättigte Fettsäuren weitgehend erhalten.
Gute Verdaulichkeit: Kaltgepresstes Futter quillt im Gegensatz zu herkömmlichem Trockenfutter im Magen nicht auf. Das reduziert Blähungen und Magenüberdehnungen. Das Futter löst sich im Verdauungstrakt schnell in seine pulverartigen Bestandteile auf.
Starke Vielfalt: Zutaten wie Hirse, Kürbis, Süßkartoffeln und Rote Beete sorgen für ein umfassendes Nährstoffprofil.
Natürliche Konservierung: Vitamin E und andere natürliche Konservierungsstoffe bleiben weitestgehend erhalten, wodurch künstliche Konservierungsstoffe überflüssig werden.
Regionale Qualität: Hergestellt in Deutschland mit hochwertigen Rohstoffen und ohne minderwertige Füllstoffe.
Mit Omega-3-Versorgung: Wildfischöl und Hanföl liefern entzündungshemmende Fettsäuren, die Haut und Fell stärken.
Alle verwendeten Zutaten in der RyDog Fleisch-Flocke Hirsch sind von Natur aus glutenfrei. Die Flocke eignet sich somit hervorragend für Hunde mit einer Glutenunverträglichkeit oder empfindlichem Verdauungssystem.
Frei von unnötigen ZusatzstoffenDiese Mahlzeit ist frei von künstlichen Aroma-, Farb- und Konservierungsstoffen. ANIfit Futter enthält generell keine unnötigen Zusatzstoffe. Unsere Philosophie ist es, nur die für den Hund wirklich wichtigen Einzelfuttermittel und Ergänzungen als Zutaten zu verwenden, die den Nährstoffbedarf als Alleinfutter optimal decken.
Artgerechte Ernährung für jede Lebensphase des HundesDieses trockene Futter (Einzelfuttermittel) ist die richtige Wahl für alle Hunderassen und Altersstufen.
Hergestellt in Deutschland - für höchste QualitätsansprücheDie Herstellung der RyDog Fleisch-Flocke Hirsch erfolgt unter höchsten Qualitätsstandards direkt in Deutschland. Durch die heimische Produktion wird sichergestellt, dass nur erstklassige Rohstoffe verwendet werden, während gleichzeitig auf eine verantwortungsvolle und nachhaltige Verarbeitung geachtet wird.
Anwendung und Lagerung
Zubereitung: Bitte stets eine ausreichende Menge an frischem Trinkwasser bereitstellen.
Lagerung: Das Futter trocken und in der atmungsaktiven Verpackung lagern, um Frische und Qualität zu bewahren.
RyDog Fleisch-Flocke Hirsch ist die passende Kombination aus natürlicher Reinheit, nährstoffreicher Zusammensetzung und guter Bekömmlichkeit.</t>
        </is>
      </c>
      <c r="D61" s="6" t="inlineStr">
        <is>
          <t>in_stock</t>
        </is>
      </c>
      <c r="E61" s="6" t="n"/>
      <c r="F61" s="6" t="n"/>
      <c r="G61" s="11" t="inlineStr">
        <is>
          <t>https://www.fellkost.de/content/partners/466587/shop/shop/article/432039/rydog_fleisch-flocke_hirsch_1_5kg_1_stueck_?category=62192</t>
        </is>
      </c>
      <c r="H61" s="6" t="n"/>
      <c r="I61" s="14" t="inlineStr">
        <is>
          <t>https://www.fellkost.de/static/content/e18829/e18831/e18851/e56197/e232565/image_shop1/ger/Hundefutter%20Hirschflocke%201920%20x%201920_w480_h480_q90_jpg.jpg?checksum=32b469941460e0e99eb22b3a4bd2625f6364ed8d</t>
        </is>
      </c>
      <c r="J61" s="7" t="n">
        <v>17.99</v>
      </c>
      <c r="K61" s="6" t="n"/>
      <c r="L61" s="6" t="n"/>
      <c r="M61" s="6" t="inlineStr">
        <is>
          <t>no</t>
        </is>
      </c>
      <c r="N61" s="6" t="n"/>
      <c r="O61" s="6" t="n"/>
      <c r="P61" s="6" t="inlineStr">
        <is>
          <t>ANIfit</t>
        </is>
      </c>
      <c r="Q61" s="13" t="n"/>
      <c r="R61" s="6" t="n"/>
      <c r="S61" s="6" t="n"/>
      <c r="T61" s="6" t="inlineStr">
        <is>
          <t>new</t>
        </is>
      </c>
      <c r="U61" s="6" t="inlineStr">
        <is>
          <t>no</t>
        </is>
      </c>
      <c r="V61" s="6" t="n"/>
      <c r="W61" s="6" t="n"/>
      <c r="X61" s="6" t="n"/>
      <c r="Y61" s="6" t="n"/>
      <c r="Z61" s="6" t="n"/>
      <c r="AA61" s="6" t="n"/>
      <c r="AB61" s="6" t="n"/>
      <c r="AC61" s="6" t="n"/>
      <c r="AD61" s="6" t="n"/>
      <c r="AE61" s="6" t="n"/>
      <c r="AF61" s="6" t="n"/>
      <c r="AG61" s="6" t="n"/>
      <c r="AH61" s="6" t="n"/>
      <c r="AI61" s="6" t="n"/>
      <c r="AJ61" s="6" t="n"/>
      <c r="AK61" s="6" t="n"/>
      <c r="AL61" s="3" t="n">
        <v>500</v>
      </c>
    </row>
    <row r="62">
      <c r="A62" s="3" t="n">
        <v>405858</v>
      </c>
      <c r="B62" s="14" t="inlineStr">
        <is>
          <t>RyDog Fleisch-Flocke Hirsch - Trockenfutter ANIfit für Hunde - 5kg</t>
        </is>
      </c>
      <c r="C62" s="13" t="inlineStr">
        <is>
          <t>Die RyDog Fleisch-Flocke Hirsch ist die ideale Wahl für Hunde, die eine hochwertiges und bekömmliches Leckerlie genießen möchten oder als Trockenmahlzeit (Alleinfuttermittel).
Dank der schonenden Kaltpressung bleiben wichtige Nährstoffe und Vitamine erhalten, die die zum Beispiel durch hohe Temperaturen beim Backen verloren gehen würden.
Das Ergebnis: ein trockenes, gut verdauliches Hundefutter.
Zusammensetzung 
30 % Hirsch-Trockenfleisch: Eine magere, leicht verdauliche Eiweißquelle mit essenziellen Aminosäuren.
24 % Süßkartoffel: Reich an Ballaststoffen und Energie, ideal für eine geregelte Verdauung.
23 % Hirse: Liefert wichtige Mineralstoffe wie Magnesium und fördert die Knochengesundheit. Hirse ist glutenfrei.
Weitere Zutaten:
Apfel: Für natürliche Vitamine und eine sanfte Unterstützung der Verdauung.
Hanföl und Wildfischöl: Hochwertige Omega-3- und Omega-6-Fettsäuren für Haut- und Fellgesundheit.
Kürbis und Rote Beete: Ballaststoffreich und gut für eine gesunde Darmflora.
Johannisbeeren und Hagebutte: Natürliche Antioxidantien zur Unterstützung des Immunsystems.
Algen und Mariendistel: Zur Förderung der Entgiftung und zur Versorgung mit natürlichen Spurenelementen.
Leinsaat: Reich an Omega-3-Fettsäuren und unterstützend für die Verdauung.
Zusatzstoffe – Für eine optimale Nährstoffversorgung
Die ernährungsphysiologischen Zusatzstoffe stellen sicher, dass der Hund alle lebensnotwendigen Vitamine und Spurenelemente eines Alleinfuttermittels erhält:
Vitamine:
Vitamin A: 10.000 IE (für die Sehkraft und das Immunsystem)
Vitamin D3: 1.000 IE (für Knochen und Zähne)
Vitamin E: 200 mg (als Antioxidans für Zellschutz)
Vitamin C: 140 mg (stärkt die Immunabwehr)
Vitamin B-Komplex (B1, B2, B6, B12, Niacin, Folsäure, Biotin): Fördert Stoffwechsel, Nerven und Hautgesundheit.
Spurenelemente:
Zink: 62,5 mg (für Fell und Hautgesundheit)
Kupfer: 16 mg (fördert die Pigmentierung und Enzymfunktion)
Mangan: 52 mg (für den Knorpelaufbau)
Selen: 150 mcg (für Zellschutz und Entgiftung)
Jod: 0,3 mg (für die Schilddrüsenfunktion)
Warum Kaltpressung? – Die Vorteile auf einen Blick
Hohe Nährstoffqualität: Durch Temperaturen von nur 40 - 75 °C bleiben hitzeempfindliche Vitamine (z. B. Vitamin A und B-Vitamine) sowie ungesättigte Fettsäuren weitgehend erhalten.
Gute Verdaulichkeit: Kaltgepresstes Futter quillt im Gegensatz zu herkömmlichem Trockenfutter im Magen nicht auf. Das reduziert Blähungen und Magenüberdehnungen. Das Futter löst sich im Verdauungstrakt schnell in seine pulverartigen Bestandteile auf.
Starke Vielfalt: Zutaten wie Hirse, Kürbis, Süßkartoffeln und Rote Beete sorgen für ein umfassendes Nährstoffprofil.
Natürliche Konservierung: Vitamin E und andere natürliche Konservierungsstoffe bleiben weitestgehend erhalten, wodurch künstliche Konservierungsstoffe überflüssig werden.
Regionale Qualität: Hergestellt in Deutschland mit hochwertigen Rohstoffen und ohne minderwertige Füllstoffe.
Mit Omega-3-Versorgung: Wildfischöl und Hanföl liefern entzündungshemmende Fettsäuren, die Haut und Fell stärken.
Alle verwendeten Zutaten in der RyDog Fleisch-Flocke Hirsch sind von Natur aus glutenfrei. Die Flocke eignet sich somit hervorragend für Hunde mit einer Glutenunverträglichkeit oder empfindlichem Verdauungssystem.
Frei von unnötigen ZusatzstoffenDiese Mahlzeit ist frei von künstlichen Aroma-, Farb- und Konservierungsstoffen. ANIfit Futter enthält generell keine unnötigen Zusatzstoffe. Unsere Philosophie ist es, nur die für den Hund wirklich wichtigen Einzelfuttermittel und Ergänzungen als Zutaten zu verwenden, die den Nährstoffbedarf als Alleinfutter optimal decken.
Artgerechte Ernährung für jede Lebensphase des HundesDieses trockene Futter (Einzelfuttermittel) ist die richtige Wahl für alle Hunderassen und Altersstufen.
Hergestellt in Deutschland - für höchste QualitätsansprücheDie Herstellung der RyDog Fleisch-Flocke Hirsch erfolgt unter höchsten Qualitätsstandards direkt in Deutschland. Durch die heimische Produktion wird sichergestellt, dass nur erstklassige Rohstoffe verwendet werden, während gleichzeitig auf eine verantwortungsvolle und nachhaltige Verarbeitung geachtet wird.
Anwendung und Lagerung
Zubereitung: Bitte stets eine ausreichende Menge an frischem Trinkwasser bereitstellen.
Lagerung: Das Futter trocken und in der atmungsaktiven Verpackung lagern, um Frische und Qualität zu bewahren.
RyDog Fleisch-Flocke Hirsch ist die passende Kombination aus natürlicher Reinheit, nährstoffreicher Zusammensetzung und guter Bekömmlichkeit.</t>
        </is>
      </c>
      <c r="D62" s="6" t="inlineStr">
        <is>
          <t>in_stock</t>
        </is>
      </c>
      <c r="E62" s="6" t="n"/>
      <c r="F62" s="6" t="n"/>
      <c r="G62" s="11" t="inlineStr">
        <is>
          <t>https://www.fellkost.de/content/partners/466587/shop/shop/article/405858/rydog_fleisch-flocke_hirsch_5kg_1_stueck_</t>
        </is>
      </c>
      <c r="H62" s="6" t="n"/>
      <c r="I62" s="13" t="inlineStr">
        <is>
          <t>https://www.fellkost.de/static/content/e18829/e18831/e18851/e56197/e218119/image_shop1/ger/Hundefutter%20Fleisch-Flocke%20Hirsch%205kg%201920%20x%201920_w480_h480_q90_jpg.jpg?checksum=907e28e51aaeff0ef287ba1ac8da0fffa356647c</t>
        </is>
      </c>
      <c r="J62" s="7" t="n">
        <v>50.49</v>
      </c>
      <c r="K62" s="6" t="n"/>
      <c r="L62" s="6" t="n"/>
      <c r="M62" s="6" t="inlineStr">
        <is>
          <t>no</t>
        </is>
      </c>
      <c r="N62" s="6" t="n"/>
      <c r="O62" s="6" t="n"/>
      <c r="P62" s="6" t="inlineStr">
        <is>
          <t>RyDog</t>
        </is>
      </c>
      <c r="Q62" s="13" t="n"/>
      <c r="R62" s="6" t="n"/>
      <c r="S62" s="6" t="n"/>
      <c r="T62" s="6" t="inlineStr">
        <is>
          <t>new</t>
        </is>
      </c>
      <c r="U62" s="6" t="inlineStr">
        <is>
          <t>no</t>
        </is>
      </c>
      <c r="V62" s="6" t="n"/>
      <c r="W62" s="6" t="n"/>
      <c r="X62" s="6" t="n"/>
      <c r="Y62" s="6" t="n"/>
      <c r="Z62" s="6" t="n"/>
      <c r="AA62" s="6" t="n"/>
      <c r="AB62" s="6" t="n"/>
      <c r="AC62" s="6" t="n"/>
      <c r="AD62" s="6" t="n"/>
      <c r="AE62" s="6" t="n"/>
      <c r="AF62" s="6" t="n"/>
      <c r="AG62" s="6" t="n"/>
      <c r="AH62" s="6" t="n"/>
      <c r="AI62" s="6" t="n"/>
      <c r="AJ62" s="6" t="n"/>
      <c r="AK62" s="6" t="n"/>
      <c r="AL62" s="3" t="n">
        <v>500</v>
      </c>
    </row>
    <row r="63">
      <c r="A63" s="3" t="n">
        <v>405938</v>
      </c>
      <c r="B63" s="14" t="inlineStr">
        <is>
          <t>RyDog Fleisch-Flocke Hirsch - Trockenfutter ANIfit für Hunde - 10kg</t>
        </is>
      </c>
      <c r="C63" s="13" t="inlineStr">
        <is>
          <t>Die RyDog Fleisch-Flocke Hirsch ist die ideale Wahl für Hunde, die eine hochwertiges und bekömmliches Leckerlie genießen möchten oder als Trockenmahlzeit (Alleinfuttermittel).
Dank der schonenden Kaltpressung bleiben wichtige Nährstoffe und Vitamine erhalten, die die zum Beispiel durch hohe Temperaturen beim Backen verloren gehen würden.
Das Ergebnis: ein trockenes, gut verdauliches Hundefutter.
Zusammensetzung 
30 % Hirsch-Trockenfleisch: Eine magere, leicht verdauliche Eiweißquelle mit essenziellen Aminosäuren.
24 % Süßkartoffel: Reich an Ballaststoffen und Energie, ideal für eine geregelte Verdauung.
23 % Hirse: Liefert wichtige Mineralstoffe wie Magnesium und fördert die Knochengesundheit. Hirse ist glutenfrei.
Weitere Zutaten:
Apfel: Für natürliche Vitamine und eine sanfte Unterstützung der Verdauung.
Hanföl und Wildfischöl: Hochwertige Omega-3- und Omega-6-Fettsäuren für Haut- und Fellgesundheit.
Kürbis und Rote Beete: Ballaststoffreich und gut für eine gesunde Darmflora.
Johannisbeeren und Hagebutte: Natürliche Antioxidantien zur Unterstützung des Immunsystems.
Algen und Mariendistel: Zur Förderung der Entgiftung und zur Versorgung mit natürlichen Spurenelementen.
Leinsaat: Reich an Omega-3-Fettsäuren und unterstützend für die Verdauung.
Zusatzstoffe – Für eine optimale Nährstoffversorgung
Die ernährungsphysiologischen Zusatzstoffe stellen sicher, dass der Hund alle lebensnotwendigen Vitamine und Spurenelemente eines Alleinfuttermittels erhält:
Vitamine:
Vitamin A: 10.000 IE (für die Sehkraft und das Immunsystem)
Vitamin D3: 1.000 IE (für Knochen und Zähne)
Vitamin E: 200 mg (als Antioxidans für Zellschutz)
Vitamin C: 140 mg (stärkt die Immunabwehr)
Vitamin B-Komplex (B1, B2, B6, B12, Niacin, Folsäure, Biotin): Fördert Stoffwechsel, Nerven und Hautgesundheit.
Spurenelemente:
Zink: 62,5 mg (für Fell und Hautgesundheit)
Kupfer: 16 mg (fördert die Pigmentierung und Enzymfunktion)
Mangan: 52 mg (für den Knorpelaufbau)
Selen: 150 mcg (für Zellschutz und Entgiftung)
Jod: 0,3 mg (für die Schilddrüsenfunktion)
Warum Kaltpressung? – Die Vorteile auf einen Blick
Hohe Nährstoffqualität: Durch Temperaturen von nur 40 - 75 °C bleiben hitzeempfindliche Vitamine (z. B. Vitamin A und B-Vitamine) sowie ungesättigte Fettsäuren weitgehend erhalten.
Gute Verdaulichkeit: Kaltgepresstes Futter quillt im Gegensatz zu herkömmlichem Trockenfutter im Magen nicht auf. Das reduziert Blähungen und Magenüberdehnungen. Das Futter löst sich im Verdauungstrakt schnell in seine pulverartigen Bestandteile auf.
Starke Vielfalt: Zutaten wie Hirse, Kürbis, Süßkartoffeln und Rote Beete sorgen für ein umfassendes Nährstoffprofil.
Natürliche Konservierung: Vitamin E und andere natürliche Konservierungsstoffe bleiben weitestgehend erhalten, wodurch künstliche Konservierungsstoffe überflüssig werden.
Regionale Qualität: Hergestellt in Deutschland mit hochwertigen Rohstoffen und ohne minderwertige Füllstoffe.
Mit Omega-3-Versorgung: Wildfischöl und Hanföl liefern entzündungshemmende Fettsäuren, die Haut und Fell stärken.
Alle verwendeten Zutaten in der RyDog Fleisch-Flocke Hirsch sind von Natur aus glutenfrei. Die Flocke eignet sich somit hervorragend für Hunde mit einer Glutenunverträglichkeit oder empfindlichem Verdauungssystem.
Frei von unnötigen ZusatzstoffenDiese Mahlzeit ist frei von künstlichen Aroma-, Farb- und Konservierungsstoffen. ANIfit Futter enthält generell keine unnötigen Zusatzstoffe. Unsere Philosophie ist es, nur die für den Hund wirklich wichtigen Einzelfuttermittel und Ergänzungen als Zutaten zu verwenden, die den Nährstoffbedarf als Alleinfutter optimal decken.
Artgerechte Ernährung für jede Lebensphase des HundesDieses trockene Futter (Einzelfuttermittel) ist die richtige Wahl für alle Hunderassen und Altersstufen.
Hergestellt in Deutschland - für höchste QualitätsansprücheDie Herstellung der RyDog Fleisch-Flocke Hirsch erfolgt unter höchsten Qualitätsstandards direkt in Deutschland. Durch die heimische Produktion wird sichergestellt, dass nur erstklassige Rohstoffe verwendet werden, während gleichzeitig auf eine verantwortungsvolle und nachhaltige Verarbeitung geachtet wird.
Anwendung und Lagerung
Zubereitung: Bitte stets eine ausreichende Menge an frischem Trinkwasser bereitstellen.
Lagerung: Das Futter trocken und in der atmungsaktiven Verpackung lagern, um Frische und Qualität zu bewahren.
RyDog Fleisch-Flocke Hirsch ist die passende Kombination aus natürlicher Reinheit, nährstoffreicher Zusammensetzung und guter Bekömmlichkeit.</t>
        </is>
      </c>
      <c r="D63" s="6" t="inlineStr">
        <is>
          <t>in_stock</t>
        </is>
      </c>
      <c r="E63" s="6" t="n"/>
      <c r="F63" s="6" t="n"/>
      <c r="G63" s="11" t="inlineStr">
        <is>
          <t>https://www.fellkost.de/content/partners/466587/shop/shop/article/405938/rydog_fleisch-flocke_hirsch_10kg_1_stueck_</t>
        </is>
      </c>
      <c r="H63" s="6" t="n"/>
      <c r="I63" s="13" t="inlineStr">
        <is>
          <t>https://www.fellkost.de/static/content/e18829/e18831/e18851/e56197/e218120/image_shop1/ger/Hundefutter%20Fleisch-Flocke%20Hirsch%2010kg%201920%20x%201920_w480_h480_q90_jpg.jpg?checksum=b653972f77605a1ed126c4e782066d94e3a84b7b</t>
        </is>
      </c>
      <c r="J63" s="7" t="n">
        <v>96.48999999999999</v>
      </c>
      <c r="K63" s="6" t="n"/>
      <c r="L63" s="6" t="n"/>
      <c r="M63" s="6" t="inlineStr">
        <is>
          <t>no</t>
        </is>
      </c>
      <c r="N63" s="6" t="n"/>
      <c r="O63" s="6" t="n"/>
      <c r="P63" s="6" t="inlineStr">
        <is>
          <t>RyDog</t>
        </is>
      </c>
      <c r="Q63" s="13" t="n"/>
      <c r="R63" s="6" t="n"/>
      <c r="S63" s="6" t="n"/>
      <c r="T63" s="6" t="inlineStr">
        <is>
          <t>new</t>
        </is>
      </c>
      <c r="U63" s="6" t="inlineStr">
        <is>
          <t>no</t>
        </is>
      </c>
      <c r="V63" s="6" t="n"/>
      <c r="W63" s="6" t="n"/>
      <c r="X63" s="6" t="n"/>
      <c r="Y63" s="6" t="n"/>
      <c r="Z63" s="6" t="n"/>
      <c r="AA63" s="6" t="n"/>
      <c r="AB63" s="6" t="n"/>
      <c r="AC63" s="6" t="n"/>
      <c r="AD63" s="6" t="n"/>
      <c r="AE63" s="6" t="n"/>
      <c r="AF63" s="6" t="n"/>
      <c r="AG63" s="6" t="n"/>
      <c r="AH63" s="6" t="n"/>
      <c r="AI63" s="6" t="n"/>
      <c r="AJ63" s="6" t="n"/>
      <c r="AK63" s="6" t="n"/>
      <c r="AL63" s="3" t="n">
        <v>500</v>
      </c>
    </row>
    <row r="64">
      <c r="A64" s="3" t="n">
        <v>406053</v>
      </c>
      <c r="B64" s="14" t="inlineStr">
        <is>
          <t>RyDog Fisch-Flocke 1,5kg</t>
        </is>
      </c>
      <c r="C64" s="13" t="inlineStr">
        <is>
          <t>Die RyDog Fisch-Flocke kombiniert hochwertige Zutaten, natürlichen Geschmack und die Vorteile der schonenden Kaltpressung.
Dank der Verarbeitung bei niedrigen Temperaturen bleiben wichtige Nährstoffe und Vitamine erhalten, die bei herkömmlichen Herstellungsverfahren von trockenem Hundefutter verloren gehen können.
Die Flocken eignet sich perfekt für Hunde, die eine ausgewogene, leicht verdauliche und glutenfreie Ernährung benötigen – ob als Alleinfuttermittel oder hochwertiges Leckerlie.
Zusammensetzung 
30 % Weißfisch: Eine fettarme, leicht verdauliche Eiweißquelle, reich an essenziellen Aminosäuren und Omega-3-Fettsäuren für gesunde Haut und glänzendes Fell.
24 % Süßkartoffel: Liefert komplexe Kohlenhydrate und Ballaststoffe, die die Verdauung unterstützen.
22 % Hirse: Eine glutenfreie Getreidealternative, die wichtige Mineralstoffe wie Magnesium liefert und die Knochengesundheit unterstützt.
Weitere Zutaten:
Apfel: Für natürliche Vitamine und sanfte Unterstützung der Verdauung.
Hanföl und Wildfischöl: Hochwertige Omega-3- und Omega-6-Fettsäuren fördern die Gesundheit von Haut und Fell und wirken entzündungshemmend.
Kürbis und Rote Bete: Reich an Ballaststoffen, gut für die Darmflora und die Verdauung.
Schwarze und rote Johannisbeeren: Antioxidantien stärken das Immunsystem.
Brokkoli: Liefert wertvolle Vitamine und unterstützt die Gesundheit der Zellen.
Algen und Mariendistel: Fördern die Entgiftung und versorgen mit wichtigen Spurenelementen.
Leinsaat: Unterstützt die Verdauung und liefert entzündungshemmende Omega-3-Fettsäuren.
Zusatzstoffe – Für eine optimale Nährstoffversorgung
Die ernährungsphysiologischen Zusatzstoffe stellen sicher, dass der Hund alle lebensnotwendigen Vitamine und Spurenelemente eines Alleinfuttermittels erhält:
Vitamine:
Vitamin A: 10.000 IE (für die Sehkraft und das Immunsystem)
Vitamin D3: 1.000 IE (für Knochen und Zähne)
Vitamin E: 200 mg (als Antioxidans für den Zellschutz)
Vitamin C: 140 mg (stärkt die Immunabwehr)
Vitamin B-Komplex (B1, B2, B6, B12, Biotin, Folsäure, Niacinamid): Unterstützt Stoffwechsel, Nerven und Hautgesundheit.
Spurenelemente:
Zink: 62,5 mg (fördert gesunde Haut und Fell)
Kupfer: 16 mg (stärkt die Pigmentierung und Enzymfunktionen)
Mangan: 52 mg (wichtig für den Knorpelaufbau)
Selen: 150 mcg (schützt die Zellen und unterstützt die Entgiftung)
Jod: 0,3 mg (für die Schilddrüsenfunktion)
Warum Kaltpressung? – Die Vorteile auf einen Blick
Hohe Nährstoffqualität: Durch Temperaturen von nur 40 - 75 °C bleiben hitzeempfindliche Vitamine (z. B. Vitamin A und B-Vitamine) sowie ungesättigte Fettsäuren weitgehend erhalten.
Gute Verdaulichkeit: Kaltgepresstes Futter quillt im Gegensatz zu herkömmlichem Trockenfutter im Magen nicht auf. Das reduziert Blähungen und Magenüberdehnungen. Das Futter löst sich im Verdauungstrakt schnell in seine pulverartigen Bestandteile auf.
Starke Vielfalt: Zutaten wie Hirse, Kürbis, Süßkartoffeln und Rote Beete sorgen für ein umfassendes Nährstoffprofil.
Natürliche Konservierung: Vitamin E und andere natürliche Konservierungsstoffe bleiben weitestgehend erhalten, wodurch künstliche Konservierungsstoffe überflüssig werden.
Regionale Qualität: Hergestellt in Deutschland mit hochwertigen Rohstoffen und ohne minderwertige Füllstoffe.
Mit Omega-3-Versorgung: Wildfischöl und Hanföl liefern entzündungshemmende Fettsäuren, die Haut und Fell stärken.
Alle verwendeten Zutaten in der RyDog Fisch-Flocke sind von Natur aus glutenfrei. Die Flocke eignet sich somit hervorragend für Hunde mit einer Glutenunverträglichkeit oder empfindlichem Verdauungssystem.
Frei von unnötigen ZusatzstoffenDiese Mahlzeit ist frei von künstlichen Aroma-, Farb- und Konservierungsstoffen. ANIfit Futter enthält generell keine unnötigen Zusatzstoffe. Unsere Philosophie ist es, nur die für den Hund wirklich wichtigen Einzelfuttermittel und Ergänzungen als Zutaten zu verwenden, die den Nährstoffbedarf als Alleinfutter optimal decken.
Artgerechte Ernährung für jede Lebensphase des HundesDieses trockene Futter (Einzelfuttermittel) ist die richtige Wahl für alle Hunderassen und Altersstufen.
Hergestellt in Deutschland - für höchste QualitätsansprücheDie Herstellung der RyDog Fisch-Flocke erfolgt unter höchsten Qualitätsstandards direkt in Deutschland. Durch die heimische Produktion wird sichergestellt, dass nur erstklassige Rohstoffe verwendet werden, während gleichzeitig auf eine verantwortungsvolle und nachhaltige Verarbeitung geachtet wird.
Anwendung und Lagerung
Zubereitung: Bitte stets eine ausreichende Menge an frischem Trinkwasser bereitstellen.
Lagerung: Das Futter trocken und in der atmungsaktiven Verpackung lagern, um Frische und Qualität zu bewahren.
RyDog Fisch-Flocke ist die passende Kombination aus natürlicher Reinheit, nährstoffreicher Zusammensetzung und guter Bekömmlichkeit.</t>
        </is>
      </c>
      <c r="D64" s="6" t="inlineStr">
        <is>
          <t>in_stock</t>
        </is>
      </c>
      <c r="E64" s="6" t="n"/>
      <c r="F64" s="6" t="n"/>
      <c r="G64" s="11" t="inlineStr">
        <is>
          <t>https://www.fellkost.de/content/partners/466587/shop/shop/article/432119/rydog_fisch-flocke_1_5kg_1_stueck_?category=62192</t>
        </is>
      </c>
      <c r="H64" s="6" t="n"/>
      <c r="I64" s="13" t="inlineStr">
        <is>
          <t>https://www.fellkost.de/static/content/e18829/e18831/e18851/e56197/e232566/image_shop1/ger/Hundefutter%20Fleisch-Flocke%20Fisch%201%2C5kg%201920%20x%201920_w480_h480_q90_jpg.jpg?checksum=5510162a6ad4b346ec726385df20759ef53e2f5e</t>
        </is>
      </c>
      <c r="J64" s="7" t="n">
        <v>17.99</v>
      </c>
      <c r="K64" s="6" t="n"/>
      <c r="L64" s="6" t="n"/>
      <c r="M64" s="6" t="inlineStr">
        <is>
          <t>no</t>
        </is>
      </c>
      <c r="N64" s="6" t="n"/>
      <c r="O64" s="6" t="n"/>
      <c r="P64" s="6" t="inlineStr">
        <is>
          <t>RyDog</t>
        </is>
      </c>
      <c r="Q64" s="13" t="n"/>
      <c r="R64" s="6" t="n"/>
      <c r="S64" s="6" t="n"/>
      <c r="T64" s="6" t="inlineStr">
        <is>
          <t>new</t>
        </is>
      </c>
      <c r="U64" s="6" t="inlineStr">
        <is>
          <t>no</t>
        </is>
      </c>
      <c r="V64" s="6" t="n"/>
      <c r="W64" s="6" t="n"/>
      <c r="X64" s="6" t="n"/>
      <c r="Y64" s="6" t="n"/>
      <c r="Z64" s="6" t="n"/>
      <c r="AA64" s="6" t="n"/>
      <c r="AB64" s="6" t="n"/>
      <c r="AC64" s="6" t="n"/>
      <c r="AD64" s="6" t="n"/>
      <c r="AE64" s="6" t="n"/>
      <c r="AF64" s="6" t="n"/>
      <c r="AG64" s="6" t="n"/>
      <c r="AH64" s="6" t="n"/>
      <c r="AI64" s="6" t="n"/>
      <c r="AJ64" s="6" t="n"/>
      <c r="AK64" s="6" t="n"/>
      <c r="AL64" s="3" t="n">
        <v>500</v>
      </c>
    </row>
    <row r="65">
      <c r="A65" s="3" t="n">
        <v>406135</v>
      </c>
      <c r="B65" s="14" t="inlineStr">
        <is>
          <t>RyDog Fisch-Flocke 5kg</t>
        </is>
      </c>
      <c r="C65" s="13" t="inlineStr">
        <is>
          <t>Die RyDog Fisch-Flocke kombiniert hochwertige Zutaten, natürlichen Geschmack und die Vorteile der schonenden Kaltpressung.
Dank der Verarbeitung bei niedrigen Temperaturen bleiben wichtige Nährstoffe und Vitamine erhalten, die bei herkömmlichen Herstellungsverfahren von trockenem Hundefutter verloren gehen können.
Die Flocken eignet sich perfekt für Hunde, die eine ausgewogene, leicht verdauliche und glutenfreie Ernährung benötigen – ob als Alleinfuttermittel oder hochwertiges Leckerlie.
Zusammensetzung 
30 % Weißfisch: Eine fettarme, leicht verdauliche Eiweißquelle, reich an essenziellen Aminosäuren und Omega-3-Fettsäuren für gesunde Haut und glänzendes Fell.
24 % Süßkartoffel: Liefert komplexe Kohlenhydrate und Ballaststoffe, die die Verdauung unterstützen.
22 % Hirse: Eine glutenfreie Getreidealternative, die wichtige Mineralstoffe wie Magnesium liefert und die Knochengesundheit unterstützt.
Weitere Zutaten:
Apfel: Für natürliche Vitamine und sanfte Unterstützung der Verdauung.
Hanföl und Wildfischöl: Hochwertige Omega-3- und Omega-6-Fettsäuren fördern die Gesundheit von Haut und Fell und wirken entzündungshemmend.
Kürbis und Rote Bete: Reich an Ballaststoffen, gut für die Darmflora und die Verdauung.
Schwarze und rote Johannisbeeren: Antioxidantien stärken das Immunsystem.
Brokkoli: Liefert wertvolle Vitamine und unterstützt die Gesundheit der Zellen.
Algen und Mariendistel: Fördern die Entgiftung und versorgen mit wichtigen Spurenelementen.
Leinsaat: Unterstützt die Verdauung und liefert entzündungshemmende Omega-3-Fettsäuren.
Zusatzstoffe – Für eine optimale Nährstoffversorgung
Die ernährungsphysiologischen Zusatzstoffe stellen sicher, dass der Hund alle lebensnotwendigen Vitamine und Spurenelemente eines Alleinfuttermittels erhält:
Vitamine:
Vitamin A: 10.000 IE (für die Sehkraft und das Immunsystem)
Vitamin D3: 1.000 IE (für Knochen und Zähne)
Vitamin E: 200 mg (als Antioxidans für den Zellschutz)
Vitamin C: 140 mg (stärkt die Immunabwehr)
Vitamin B-Komplex (B1, B2, B6, B12, Biotin, Folsäure, Niacinamid): Unterstützt Stoffwechsel, Nerven und Hautgesundheit.
Spurenelemente:
Zink: 62,5 mg (fördert gesunde Haut und Fell)
Kupfer: 16 mg (stärkt die Pigmentierung und Enzymfunktionen)
Mangan: 52 mg (wichtig für den Knorpelaufbau)
Selen: 150 mcg (schützt die Zellen und unterstützt die Entgiftung)
Jod: 0,3 mg (für die Schilddrüsenfunktion)
Warum Kaltpressung? – Die Vorteile auf einen Blick
Hohe Nährstoffqualität: Durch Temperaturen von nur 40 - 75 °C bleiben hitzeempfindliche Vitamine (z. B. Vitamin A und B-Vitamine) sowie ungesättigte Fettsäuren weitgehend erhalten.
Gute Verdaulichkeit: Kaltgepresstes Futter quillt im Gegensatz zu herkömmlichem Trockenfutter im Magen nicht auf. Das reduziert Blähungen und Magenüberdehnungen. Das Futter löst sich im Verdauungstrakt schnell in seine pulverartigen Bestandteile auf.
Starke Vielfalt: Zutaten wie Hirse, Kürbis, Süßkartoffeln und Rote Beete sorgen für ein umfassendes Nährstoffprofil.
Natürliche Konservierung: Vitamin E und andere natürliche Konservierungsstoffe bleiben weitestgehend erhalten, wodurch künstliche Konservierungsstoffe überflüssig werden.
Regionale Qualität: Hergestellt in Deutschland mit hochwertigen Rohstoffen und ohne minderwertige Füllstoffe.
Mit Omega-3-Versorgung: Wildfischöl und Hanföl liefern entzündungshemmende Fettsäuren, die Haut und Fell stärken.
Alle verwendeten Zutaten in der RyDog Fisch-Flocke sind von Natur aus glutenfrei. Die Flocke eignet sich somit hervorragend für Hunde mit einer Glutenunverträglichkeit oder empfindlichem Verdauungssystem.
Frei von unnötigen ZusatzstoffenDiese Mahlzeit ist frei von künstlichen Aroma-, Farb- und Konservierungsstoffen. ANIfit Futter enthält generell keine unnötigen Zusatzstoffe. Unsere Philosophie ist es, nur die für den Hund wirklich wichtigen Einzelfuttermittel und Ergänzungen als Zutaten zu verwenden, die den Nährstoffbedarf als Alleinfutter optimal decken.
Artgerechte Ernährung für jede Lebensphase des HundesDieses trockene Futter (Einzelfuttermittel) ist die richtige Wahl für alle Hunderassen und Altersstufen.
Hergestellt in Deutschland - für höchste QualitätsansprücheDie Herstellung der RyDog Fisch-Flocke erfolgt unter höchsten Qualitätsstandards direkt in Deutschland. Durch die heimische Produktion wird sichergestellt, dass nur erstklassige Rohstoffe verwendet werden, während gleichzeitig auf eine verantwortungsvolle und nachhaltige Verarbeitung geachtet wird.
Anwendung und Lagerung
Zubereitung: Bitte stets eine ausreichende Menge an frischem Trinkwasser bereitstellen.
Lagerung: Das Futter trocken und in der atmungsaktiven Verpackung lagern, um Frische und Qualität zu bewahren.
RyDog Fisch-Flocke ist die passende Kombination aus natürlicher Reinheit, nährstoffreicher Zusammensetzung und guter Bekömmlichkeit.</t>
        </is>
      </c>
      <c r="D65" s="6" t="inlineStr">
        <is>
          <t>in_stock</t>
        </is>
      </c>
      <c r="E65" s="6" t="n"/>
      <c r="F65" s="6" t="n"/>
      <c r="G65" s="11" t="inlineStr">
        <is>
          <t>https://www.fellkost.de/content/partners/466587/shop/shop/article/406135/rydog_fisch-flocke_5kg_1_stueck_</t>
        </is>
      </c>
      <c r="H65" s="6" t="n"/>
      <c r="I65" s="13" t="inlineStr">
        <is>
          <t>https://www.fellkost.de/static/content/e18829/e18831/e18851/e56197/e218122/image_shop1/ger/Hundefutter%20Fleisch-Flocke%20Fisch%205kg%201920%20x%201920_w480_h480_q90_jpg.jpg?checksum=c1a47f41e9b2b33e6685c5d8caa22e9785108b43</t>
        </is>
      </c>
      <c r="J65" s="7" t="n">
        <v>48.49</v>
      </c>
      <c r="K65" s="6" t="n"/>
      <c r="L65" s="6" t="n"/>
      <c r="M65" s="6" t="inlineStr">
        <is>
          <t>no</t>
        </is>
      </c>
      <c r="N65" s="6" t="n"/>
      <c r="O65" s="6" t="n"/>
      <c r="P65" s="6" t="inlineStr">
        <is>
          <t>RyDog</t>
        </is>
      </c>
      <c r="Q65" s="13" t="n"/>
      <c r="R65" s="6" t="n"/>
      <c r="S65" s="6" t="n"/>
      <c r="T65" s="6" t="inlineStr">
        <is>
          <t>new</t>
        </is>
      </c>
      <c r="U65" s="6" t="inlineStr">
        <is>
          <t>no</t>
        </is>
      </c>
      <c r="V65" s="6" t="n"/>
      <c r="W65" s="6" t="n"/>
      <c r="X65" s="6" t="n"/>
      <c r="Y65" s="6" t="n"/>
      <c r="Z65" s="6" t="n"/>
      <c r="AA65" s="6" t="n"/>
      <c r="AB65" s="6" t="n"/>
      <c r="AC65" s="6" t="n"/>
      <c r="AD65" s="6" t="n"/>
      <c r="AE65" s="6" t="n"/>
      <c r="AF65" s="6" t="n"/>
      <c r="AG65" s="6" t="n"/>
      <c r="AH65" s="6" t="n"/>
      <c r="AI65" s="6" t="n"/>
      <c r="AJ65" s="6" t="n"/>
      <c r="AK65" s="6" t="n"/>
      <c r="AL65" s="3" t="n">
        <v>500</v>
      </c>
    </row>
    <row r="66">
      <c r="A66" s="3" t="n">
        <v>406218</v>
      </c>
      <c r="B66" s="14" t="inlineStr">
        <is>
          <t>RyDog Fisch-Flocke 10kg</t>
        </is>
      </c>
      <c r="C66" s="13" t="inlineStr">
        <is>
          <t>Die RyDog Fisch-Flocke kombiniert hochwertige Zutaten, natürlichen Geschmack und die Vorteile der schonenden Kaltpressung.
Dank der Verarbeitung bei niedrigen Temperaturen bleiben wichtige Nährstoffe und Vitamine erhalten, die bei herkömmlichen Herstellungsverfahren von trockenem Hundefutter verloren gehen können.
Die Flocken eignet sich perfekt für Hunde, die eine ausgewogene, leicht verdauliche und glutenfreie Ernährung benötigen – ob als Alleinfuttermittel oder hochwertiges Leckerlie.
Zusammensetzung 
30 % Weißfisch: Eine fettarme, leicht verdauliche Eiweißquelle, reich an essenziellen Aminosäuren und Omega-3-Fettsäuren für gesunde Haut und glänzendes Fell.
24 % Süßkartoffel: Liefert komplexe Kohlenhydrate und Ballaststoffe, die die Verdauung unterstützen.
22 % Hirse: Eine glutenfreie Getreidealternative, die wichtige Mineralstoffe wie Magnesium liefert und die Knochengesundheit unterstützt.
Weitere Zutaten:
Apfel: Für natürliche Vitamine und sanfte Unterstützung der Verdauung.
Hanföl und Wildfischöl: Hochwertige Omega-3- und Omega-6-Fettsäuren fördern die Gesundheit von Haut und Fell und wirken entzündungshemmend.
Kürbis und Rote Bete: Reich an Ballaststoffen, gut für die Darmflora und die Verdauung.
Schwarze und rote Johannisbeeren: Antioxidantien stärken das Immunsystem.
Brokkoli: Liefert wertvolle Vitamine und unterstützt die Gesundheit der Zellen.
Algen und Mariendistel: Fördern die Entgiftung und versorgen mit wichtigen Spurenelementen.
Leinsaat: Unterstützt die Verdauung und liefert entzündungshemmende Omega-3-Fettsäuren.
Zusatzstoffe – Für eine optimale Nährstoffversorgung
Die ernährungsphysiologischen Zusatzstoffe stellen sicher, dass der Hund alle lebensnotwendigen Vitamine und Spurenelemente eines Alleinfuttermittels erhält:
Vitamine:
Vitamin A: 10.000 IE (für die Sehkraft und das Immunsystem)
Vitamin D3: 1.000 IE (für Knochen und Zähne)
Vitamin E: 200 mg (als Antioxidans für den Zellschutz)
Vitamin C: 140 mg (stärkt die Immunabwehr)
Vitamin B-Komplex (B1, B2, B6, B12, Biotin, Folsäure, Niacinamid): Unterstützt Stoffwechsel, Nerven und Hautgesundheit.
Spurenelemente:
Zink: 62,5 mg (fördert gesunde Haut und Fell)
Kupfer: 16 mg (stärkt die Pigmentierung und Enzymfunktionen)
Mangan: 52 mg (wichtig für den Knorpelaufbau)
Selen: 150 mcg (schützt die Zellen und unterstützt die Entgiftung)
Jod: 0,3 mg (für die Schilddrüsenfunktion)
Warum Kaltpressung? – Die Vorteile auf einen Blick
Hohe Nährstoffqualität: Durch Temperaturen von nur 40 - 75 °C bleiben hitzeempfindliche Vitamine (z. B. Vitamin A und B-Vitamine) sowie ungesättigte Fettsäuren weitgehend erhalten.
Gute Verdaulichkeit: Kaltgepresstes Futter quillt im Gegensatz zu herkömmlichem Trockenfutter im Magen nicht auf. Das reduziert Blähungen und Magenüberdehnungen. Das Futter löst sich im Verdauungstrakt schnell in seine pulverartigen Bestandteile auf.
Starke Vielfalt: Zutaten wie Hirse, Kürbis, Süßkartoffeln und Rote Beete sorgen für ein umfassendes Nährstoffprofil.
Natürliche Konservierung: Vitamin E und andere natürliche Konservierungsstoffe bleiben weitestgehend erhalten, wodurch künstliche Konservierungsstoffe überflüssig werden.
Regionale Qualität: Hergestellt in Deutschland mit hochwertigen Rohstoffen und ohne minderwertige Füllstoffe.
Mit Omega-3-Versorgung: Wildfischöl und Hanföl liefern entzündungshemmende Fettsäuren, die Haut und Fell stärken.
Alle verwendeten Zutaten in der RyDog Fisch-Flocke sind von Natur aus glutenfrei. Die Flocke eignet sich somit hervorragend für Hunde mit einer Glutenunverträglichkeit oder empfindlichem Verdauungssystem.
Frei von unnötigen ZusatzstoffenDiese Mahlzeit ist frei von künstlichen Aroma-, Farb- und Konservierungsstoffen. ANIfit Futter enthält generell keine unnötigen Zusatzstoffe. Unsere Philosophie ist es, nur die für den Hund wirklich wichtigen Einzelfuttermittel und Ergänzungen als Zutaten zu verwenden, die den Nährstoffbedarf als Alleinfutter optimal decken.
Artgerechte Ernährung für jede Lebensphase des HundesDieses trockene Futter (Einzelfuttermittel) ist die richtige Wahl für alle Hunderassen und Altersstufen.
Hergestellt in Deutschland - für höchste QualitätsansprücheDie Herstellung der RyDog Fisch-Flocke erfolgt unter höchsten Qualitätsstandards direkt in Deutschland. Durch die heimische Produktion wird sichergestellt, dass nur erstklassige Rohstoffe verwendet werden, während gleichzeitig auf eine verantwortungsvolle und nachhaltige Verarbeitung geachtet wird.
Anwendung und Lagerung
Zubereitung: Bitte stets eine ausreichende Menge an frischem Trinkwasser bereitstellen.
Lagerung: Das Futter trocken und in der atmungsaktiven Verpackung lagern, um Frische und Qualität zu bewahren.
RyDog Fisch-Flocke ist die passende Kombination aus natürlicher Reinheit, nährstoffreicher Zusammensetzung und guter Bekömmlichkeit.</t>
        </is>
      </c>
      <c r="D66" s="6" t="inlineStr">
        <is>
          <t>in_stock</t>
        </is>
      </c>
      <c r="E66" s="6" t="n"/>
      <c r="F66" s="6" t="n"/>
      <c r="G66" s="11" t="inlineStr">
        <is>
          <t>https://www.fellkost.de/content/partners/466587/shop/shop/article/406218/rydog_fisch-flocke_10kg_1_stueck_</t>
        </is>
      </c>
      <c r="H66" s="6" t="n"/>
      <c r="I66" s="13" t="inlineStr">
        <is>
          <t>https://www.fellkost.de/static/content/e18829/e18831/e18851/e56197/e218123/image_shop1/ger/Hundefutter%20Fleisch-Flocke%20Fisch%2010kg%201920%20x%201920_w480_h480_q90_jpg.jpg?checksum=148999a4f4c5e6ad841e5ef39a76b3fcb7af7257</t>
        </is>
      </c>
      <c r="J66" s="7" t="n">
        <v>92.48999999999999</v>
      </c>
      <c r="K66" s="6" t="n"/>
      <c r="L66" s="6" t="n"/>
      <c r="M66" s="6" t="inlineStr">
        <is>
          <t>no</t>
        </is>
      </c>
      <c r="N66" s="6" t="n"/>
      <c r="O66" s="6" t="n"/>
      <c r="P66" s="6" t="inlineStr">
        <is>
          <t>RyDog</t>
        </is>
      </c>
      <c r="Q66" s="13" t="n"/>
      <c r="R66" s="6" t="n"/>
      <c r="S66" s="6" t="n"/>
      <c r="T66" s="6" t="inlineStr">
        <is>
          <t>new</t>
        </is>
      </c>
      <c r="U66" s="6" t="inlineStr">
        <is>
          <t>no</t>
        </is>
      </c>
      <c r="V66" s="6" t="n"/>
      <c r="W66" s="6" t="n"/>
      <c r="X66" s="6" t="n"/>
      <c r="Y66" s="6" t="n"/>
      <c r="Z66" s="6" t="n"/>
      <c r="AA66" s="6" t="n"/>
      <c r="AB66" s="6" t="n"/>
      <c r="AC66" s="6" t="n"/>
      <c r="AD66" s="6" t="n"/>
      <c r="AE66" s="6" t="n"/>
      <c r="AF66" s="6" t="n"/>
      <c r="AG66" s="6" t="n"/>
      <c r="AH66" s="6" t="n"/>
      <c r="AI66" s="6" t="n"/>
      <c r="AJ66" s="6" t="n"/>
      <c r="AK66" s="6" t="n"/>
      <c r="AL66" s="3" t="n">
        <v>500</v>
      </c>
    </row>
    <row r="67">
      <c r="A67" s="3" t="n">
        <v>81584</v>
      </c>
      <c r="B67" s="14" t="inlineStr">
        <is>
          <t>Purin-low 200g</t>
        </is>
      </c>
      <c r="C67" s="13" t="inlineStr">
        <is>
          <t>Bei Purin handelt es sich um organische Verbindungen, die sowohl bei Menschen als auch bei Hunden für den Aufbau neuer Zellen sowie die Erbsubstanz wichtig sind.
Purine sind in zahlreichen Lebensmitteln, und auch in vielen Fleischsorten, enthalten.
Beim Abbau von Purin wird im Körper Harnsäure produziert. Das ist ganz normal und auch kein Grund zur Sorge. Unter bestimmten Voraussetzungen kann es jedoch passieren, dass die Harnsäure nicht im erforderlichen Maße aus dem Körper ausgeschieden wird und sich dadurch gesundheitliche Probleme entwickeln.
Wann ist purinarme Ernährung empfohlen?
Bei folgenden Fällen empfiehlt sich eine purinarme Ernährung:
Dalmatiner mit dem genetischen Defekt, der verhindert, dass Purin aus der Nahrung zu Allantoin abgebaut wird,
Hunde, die zur Behandlung der Leishmaniose das Medikament Allopurinol erhalten. Dieses verhindert, dass Purine im Körper abgebaut werden können.
Dokumentiertes purinarmes Futter
Um festzustellen, ob ein Futter tatsächlich purinarm ist, muss das Futter auf die enthaltenen Purine und die enthaltene Harnsäure analysiert werden. Die Purine sind dann in Harnsäureäquivalente umzurechnen und zur festgestellten Harnsäure zu addieren. Das Ergebnis ist der Anteil von Harnsäure im Produkt.
Bei „Purin-low“ beträgt der Anteil der Harnsäure 40mg/100g und ist damit extrem niedrig.
Besonderheiten
Leicht verdaulich, hochwertige Zutaten
Durch Gefriertrocknung werden die Nährstoffe und des Geschmack maximal erhalten, Lange haltbar
Frei von Konservierungsmitteln, Geschmacksverstärkern, Farbstoffe, Aromen</t>
        </is>
      </c>
      <c r="D67" s="6" t="inlineStr">
        <is>
          <t>in_stock</t>
        </is>
      </c>
      <c r="E67" s="6" t="n"/>
      <c r="F67" s="6" t="n"/>
      <c r="G67" s="11" t="inlineStr">
        <is>
          <t>https://www.fellkost.de/content/partners/466587/shop/shop/article/81584/purin-low_200g_1_stueck_?category=62192</t>
        </is>
      </c>
      <c r="H67" s="6" t="n"/>
      <c r="I67" s="13" t="inlineStr">
        <is>
          <t>https://www.fellkost.de/static/content/e18829/e18831/e18851/e56197/e70911/image_shop1/ger/Purin-low-1_w480_h480_q90_png.png?checksum=08517f51923d9e61a16045f4eedfbb55287e9c68</t>
        </is>
      </c>
      <c r="J67" s="7" t="n">
        <v>23.1</v>
      </c>
      <c r="K67" s="6" t="n"/>
      <c r="L67" s="6" t="n"/>
      <c r="M67" s="6" t="inlineStr">
        <is>
          <t>no</t>
        </is>
      </c>
      <c r="N67" s="6" t="n"/>
      <c r="O67" s="6" t="n"/>
      <c r="P67" s="6" t="inlineStr">
        <is>
          <t>ANIfit</t>
        </is>
      </c>
      <c r="Q67" s="13" t="n"/>
      <c r="R67" s="6" t="n"/>
      <c r="S67" s="6" t="n"/>
      <c r="T67" s="6" t="inlineStr">
        <is>
          <t>new</t>
        </is>
      </c>
      <c r="U67" s="6" t="inlineStr">
        <is>
          <t>no</t>
        </is>
      </c>
      <c r="V67" s="6" t="n"/>
      <c r="W67" s="6" t="n"/>
      <c r="X67" s="6" t="n"/>
      <c r="Y67" s="6" t="n"/>
      <c r="Z67" s="6" t="n"/>
      <c r="AA67" s="6" t="n"/>
      <c r="AB67" s="6" t="n"/>
      <c r="AC67" s="6" t="n"/>
      <c r="AD67" s="6" t="n"/>
      <c r="AE67" s="6" t="n"/>
      <c r="AF67" s="6" t="n"/>
      <c r="AG67" s="6" t="n"/>
      <c r="AH67" s="6" t="n"/>
      <c r="AI67" s="6" t="n"/>
      <c r="AJ67" s="6" t="n"/>
      <c r="AK67" s="6" t="n"/>
      <c r="AL67" s="3" t="n">
        <v>500</v>
      </c>
    </row>
    <row r="68">
      <c r="A68" s="3" t="n">
        <v>49242</v>
      </c>
      <c r="B68" s="14" t="inlineStr">
        <is>
          <t>Easy Barf Rinderherzen 350g</t>
        </is>
      </c>
      <c r="C68"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68" s="6" t="inlineStr">
        <is>
          <t>in_stock</t>
        </is>
      </c>
      <c r="E68" s="6" t="n"/>
      <c r="F68" s="6" t="n"/>
      <c r="G68" s="11" t="inlineStr">
        <is>
          <t>https://www.fellkost.de/content/partners/466587/shop/shop/article/49242/easy_barf_rinderherzen_350g_1_stueck_?category=62269</t>
        </is>
      </c>
      <c r="H68" s="6" t="n"/>
      <c r="I68" s="13" t="inlineStr">
        <is>
          <t>https://www.fellkost.de/static/content/e18829/e18831/e18851/e37410/e47538/image_shop1/ger/Rinderherz_w480_h480_q90_jpg.jpg?checksum=d2e3d57c21898620bf025ea0a740b3b83419df02</t>
        </is>
      </c>
      <c r="J68" s="7" t="n">
        <v>24</v>
      </c>
      <c r="K68" s="6" t="n"/>
      <c r="L68" s="6" t="n"/>
      <c r="M68" s="6" t="inlineStr">
        <is>
          <t>no</t>
        </is>
      </c>
      <c r="N68" s="6" t="n"/>
      <c r="O68" s="6" t="n"/>
      <c r="P68" s="6" t="inlineStr">
        <is>
          <t>ANIfit</t>
        </is>
      </c>
      <c r="Q68" s="13" t="n"/>
      <c r="R68" s="6" t="n"/>
      <c r="S68" s="6" t="n"/>
      <c r="T68" s="6" t="inlineStr">
        <is>
          <t>new</t>
        </is>
      </c>
      <c r="U68" s="6" t="inlineStr">
        <is>
          <t>no</t>
        </is>
      </c>
      <c r="V68" s="6" t="n"/>
      <c r="W68" s="6" t="n"/>
      <c r="X68" s="6" t="n"/>
      <c r="Y68" s="6" t="n"/>
      <c r="Z68" s="6" t="n"/>
      <c r="AA68" s="6" t="n"/>
      <c r="AB68" s="6" t="n"/>
      <c r="AC68" s="6" t="n"/>
      <c r="AD68" s="6" t="n"/>
      <c r="AE68" s="6" t="n"/>
      <c r="AF68" s="6" t="n"/>
      <c r="AG68" s="6" t="n"/>
      <c r="AH68" s="6" t="n"/>
      <c r="AI68" s="6" t="n"/>
      <c r="AJ68" s="6" t="n"/>
      <c r="AK68" s="6" t="n"/>
      <c r="AL68" s="3" t="n">
        <v>500</v>
      </c>
    </row>
    <row r="69">
      <c r="A69" s="3" t="n">
        <v>68616</v>
      </c>
      <c r="B69" s="14" t="inlineStr">
        <is>
          <t>Easy Barf Lammherz 350g</t>
        </is>
      </c>
      <c r="C69"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69" s="6" t="inlineStr">
        <is>
          <t>in_stock</t>
        </is>
      </c>
      <c r="E69" s="6" t="n"/>
      <c r="F69" s="6" t="n"/>
      <c r="G69" s="11" t="inlineStr">
        <is>
          <t>https://www.fellkost.de/content/partners/466587/shop/shop/article/68616/easy_barf_lammherz_350g_1_stueck_?category=62269</t>
        </is>
      </c>
      <c r="H69" s="6" t="n"/>
      <c r="I69" s="13" t="inlineStr">
        <is>
          <t>https://www.fellkost.de/static/content/e18829/e18831/e18851/e37410/e60865/image_shop1/ger/Lammherz_w480_h480_q90_jpg.jpg?checksum=e62a3a4e040c096bccd07b4eee1e33f89f23dd43</t>
        </is>
      </c>
      <c r="J69" s="7" t="n">
        <v>25.4</v>
      </c>
      <c r="K69" s="6" t="n"/>
      <c r="L69" s="6" t="n"/>
      <c r="M69" s="6" t="inlineStr">
        <is>
          <t>no</t>
        </is>
      </c>
      <c r="N69" s="6" t="n"/>
      <c r="O69" s="6" t="n"/>
      <c r="P69" s="6" t="inlineStr">
        <is>
          <t>ANIfit</t>
        </is>
      </c>
      <c r="Q69" s="13" t="n"/>
      <c r="R69" s="6" t="n"/>
      <c r="S69" s="6" t="n"/>
      <c r="T69" s="6" t="inlineStr">
        <is>
          <t>new</t>
        </is>
      </c>
      <c r="U69" s="6" t="inlineStr">
        <is>
          <t>no</t>
        </is>
      </c>
      <c r="V69" s="6" t="n"/>
      <c r="W69" s="6" t="n"/>
      <c r="X69" s="6" t="n"/>
      <c r="Y69" s="6" t="n"/>
      <c r="Z69" s="6" t="n"/>
      <c r="AA69" s="6" t="n"/>
      <c r="AB69" s="6" t="n"/>
      <c r="AC69" s="6" t="n"/>
      <c r="AD69" s="6" t="n"/>
      <c r="AE69" s="6" t="n"/>
      <c r="AF69" s="6" t="n"/>
      <c r="AG69" s="6" t="n"/>
      <c r="AH69" s="6" t="n"/>
      <c r="AI69" s="6" t="n"/>
      <c r="AJ69" s="6" t="n"/>
      <c r="AK69" s="6" t="n"/>
      <c r="AL69" s="3" t="n">
        <v>500</v>
      </c>
    </row>
    <row r="70">
      <c r="A70" s="3" t="n">
        <v>111757</v>
      </c>
      <c r="B70" s="14" t="inlineStr">
        <is>
          <t>Easy Barf Putenbrust 300g</t>
        </is>
      </c>
      <c r="C70"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0" s="6" t="inlineStr">
        <is>
          <t>in_stock</t>
        </is>
      </c>
      <c r="E70" s="6" t="n"/>
      <c r="F70" s="6" t="n"/>
      <c r="G70" s="11" t="inlineStr">
        <is>
          <t>https://www.fellkost.de/content/partners/466587/shop/shop/article/111757/easy_barf_putenbrust_300g_1_stueck_?category=62269</t>
        </is>
      </c>
      <c r="H70" s="6" t="n"/>
      <c r="I70" s="13" t="inlineStr">
        <is>
          <t>https://www.fellkost.de/static/content/e18829/e18831/e18851/e37410/e92951/image_shop1/ger/Putenbrust-1_w480_h480_q90_jpg.jpg?checksum=5142bd31ffc9079a055e99f89075615f13212109</t>
        </is>
      </c>
      <c r="J70" s="7" t="n">
        <v>29</v>
      </c>
      <c r="K70" s="6" t="n"/>
      <c r="L70" s="6" t="n"/>
      <c r="M70" s="6" t="inlineStr">
        <is>
          <t>no</t>
        </is>
      </c>
      <c r="N70" s="6" t="n"/>
      <c r="O70" s="6" t="n"/>
      <c r="P70" s="6" t="inlineStr">
        <is>
          <t>ANIfit</t>
        </is>
      </c>
      <c r="Q70" s="13" t="n"/>
      <c r="R70" s="6" t="n"/>
      <c r="S70" s="6" t="n"/>
      <c r="T70" s="6" t="inlineStr">
        <is>
          <t>new</t>
        </is>
      </c>
      <c r="U70" s="6" t="inlineStr">
        <is>
          <t>no</t>
        </is>
      </c>
      <c r="V70" s="6" t="n"/>
      <c r="W70" s="6" t="n"/>
      <c r="X70" s="6" t="n"/>
      <c r="Y70" s="6" t="n"/>
      <c r="Z70" s="6" t="n"/>
      <c r="AA70" s="6" t="n"/>
      <c r="AB70" s="6" t="n"/>
      <c r="AC70" s="6" t="n"/>
      <c r="AD70" s="6" t="n"/>
      <c r="AE70" s="6" t="n"/>
      <c r="AF70" s="6" t="n"/>
      <c r="AG70" s="6" t="n"/>
      <c r="AH70" s="6" t="n"/>
      <c r="AI70" s="6" t="n"/>
      <c r="AJ70" s="6" t="n"/>
      <c r="AK70" s="6" t="n"/>
      <c r="AL70" s="3" t="n">
        <v>500</v>
      </c>
    </row>
    <row r="71">
      <c r="A71" s="3" t="n">
        <v>296001</v>
      </c>
      <c r="B71" s="14" t="inlineStr">
        <is>
          <t>Easy Barf Hühnerbrust 350g</t>
        </is>
      </c>
      <c r="C71"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1" s="6" t="inlineStr">
        <is>
          <t>in_stock</t>
        </is>
      </c>
      <c r="E71" s="6" t="n"/>
      <c r="F71" s="6" t="n"/>
      <c r="G71" s="11" t="inlineStr">
        <is>
          <t>https://www.fellkost.de/content/partners/466587/shop/shop/article/296001/easy_barf_huehnerbrust_350g_1_stueck_?category=62269</t>
        </is>
      </c>
      <c r="H71" s="6" t="n"/>
      <c r="I71" s="13" t="inlineStr">
        <is>
          <t>https://www.fellkost.de/static/content/e18829/e18831/e18851/e37410/e120690/image_shop1/ger/EasyBarf%20Huehnerbrust-1_w480_h480_q90_jpg.jpg?checksum=304a84c63a7ee9c6da5d23eef7521409997f39a4</t>
        </is>
      </c>
      <c r="J71" s="7" t="n">
        <v>32.6</v>
      </c>
      <c r="K71" s="6" t="n"/>
      <c r="L71" s="6" t="n"/>
      <c r="M71" s="6" t="inlineStr">
        <is>
          <t>no</t>
        </is>
      </c>
      <c r="N71" s="6" t="n"/>
      <c r="O71" s="6" t="n"/>
      <c r="P71" s="6" t="inlineStr">
        <is>
          <t>ANIfit</t>
        </is>
      </c>
      <c r="Q71" s="13" t="n"/>
      <c r="R71" s="6" t="n"/>
      <c r="S71" s="6" t="n"/>
      <c r="T71" s="6" t="inlineStr">
        <is>
          <t>new</t>
        </is>
      </c>
      <c r="U71" s="6" t="inlineStr">
        <is>
          <t>no</t>
        </is>
      </c>
      <c r="V71" s="6" t="n"/>
      <c r="W71" s="6" t="n"/>
      <c r="X71" s="6" t="n"/>
      <c r="Y71" s="6" t="n"/>
      <c r="Z71" s="6" t="n"/>
      <c r="AA71" s="6" t="n"/>
      <c r="AB71" s="6" t="n"/>
      <c r="AC71" s="6" t="n"/>
      <c r="AD71" s="6" t="n"/>
      <c r="AE71" s="6" t="n"/>
      <c r="AF71" s="6" t="n"/>
      <c r="AG71" s="6" t="n"/>
      <c r="AH71" s="6" t="n"/>
      <c r="AI71" s="6" t="n"/>
      <c r="AJ71" s="6" t="n"/>
      <c r="AK71" s="6" t="n"/>
      <c r="AL71" s="3" t="n">
        <v>500</v>
      </c>
    </row>
    <row r="72">
      <c r="A72" s="3" t="n">
        <v>49240</v>
      </c>
      <c r="B72" s="14" t="inlineStr">
        <is>
          <t>Easy Barf Rinderleber 300g</t>
        </is>
      </c>
      <c r="C72"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2" s="6" t="inlineStr">
        <is>
          <t>in_stock</t>
        </is>
      </c>
      <c r="E72" s="6" t="n"/>
      <c r="F72" s="6" t="n"/>
      <c r="G72" s="11" t="inlineStr">
        <is>
          <t>https://www.fellkost.de/content/partners/466587/shop/shop/article/49240/easy_barf_rinderleber_300g_1_stueck_?category=62269</t>
        </is>
      </c>
      <c r="H72" s="6" t="n"/>
      <c r="I72" s="13" t="inlineStr">
        <is>
          <t>https://www.fellkost.de/static/content/e18829/e18831/e18851/e37410/e47537/image_shop1/ger/Rinderleber_w480_h480_q90_jpg.jpg?checksum=7f3950eab1fed4aab947858c8fd3b2a9a7a2526e</t>
        </is>
      </c>
      <c r="J72" s="7" t="n">
        <v>21.4</v>
      </c>
      <c r="K72" s="6" t="n"/>
      <c r="L72" s="6" t="n"/>
      <c r="M72" s="6" t="inlineStr">
        <is>
          <t>no</t>
        </is>
      </c>
      <c r="N72" s="6" t="n"/>
      <c r="O72" s="6" t="n"/>
      <c r="P72" s="6" t="inlineStr">
        <is>
          <t>ANIfit</t>
        </is>
      </c>
      <c r="Q72" s="13" t="n"/>
      <c r="R72" s="6" t="n"/>
      <c r="S72" s="6" t="n"/>
      <c r="T72" s="6" t="inlineStr">
        <is>
          <t>new</t>
        </is>
      </c>
      <c r="U72" s="6" t="inlineStr">
        <is>
          <t>no</t>
        </is>
      </c>
      <c r="V72" s="6" t="n"/>
      <c r="W72" s="6" t="n"/>
      <c r="X72" s="6" t="n"/>
      <c r="Y72" s="6" t="n"/>
      <c r="Z72" s="6" t="n"/>
      <c r="AA72" s="6" t="n"/>
      <c r="AB72" s="6" t="n"/>
      <c r="AC72" s="6" t="n"/>
      <c r="AD72" s="6" t="n"/>
      <c r="AE72" s="6" t="n"/>
      <c r="AF72" s="6" t="n"/>
      <c r="AG72" s="6" t="n"/>
      <c r="AH72" s="6" t="n"/>
      <c r="AI72" s="6" t="n"/>
      <c r="AJ72" s="6" t="n"/>
      <c r="AK72" s="6" t="n"/>
      <c r="AL72" s="3" t="n">
        <v>500</v>
      </c>
    </row>
    <row r="73">
      <c r="A73" s="3" t="n">
        <v>49244</v>
      </c>
      <c r="B73" s="14" t="inlineStr">
        <is>
          <t>Easy Barf Lammpansen 150g</t>
        </is>
      </c>
      <c r="C73"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3" s="6" t="inlineStr">
        <is>
          <t>in_stock</t>
        </is>
      </c>
      <c r="E73" s="6" t="n"/>
      <c r="F73" s="6" t="n"/>
      <c r="G73" s="11" t="inlineStr">
        <is>
          <t>https://www.fellkost.de/content/partners/466587/shop/shop/article/49244/easy_barf_lammpansen_150g_1_stueck_?category=62269</t>
        </is>
      </c>
      <c r="H73" s="6" t="n"/>
      <c r="I73" s="13" t="inlineStr">
        <is>
          <t>https://www.fellkost.de/static/content/e18829/e18831/e18851/e37410/e47539/image_shop1/ger/Lammpansen_w480_h480_q90_jpg.jpg?checksum=a4909dd3dcbfe1894bb947395719920de08078c4</t>
        </is>
      </c>
      <c r="J73" s="7" t="n">
        <v>15.3</v>
      </c>
      <c r="K73" s="6" t="n"/>
      <c r="L73" s="6" t="n"/>
      <c r="M73" s="6" t="inlineStr">
        <is>
          <t>no</t>
        </is>
      </c>
      <c r="N73" s="6" t="n"/>
      <c r="O73" s="6" t="n"/>
      <c r="P73" s="6" t="inlineStr">
        <is>
          <t>ANIfit</t>
        </is>
      </c>
      <c r="Q73" s="13" t="n"/>
      <c r="R73" s="6" t="n"/>
      <c r="S73" s="6" t="n"/>
      <c r="T73" s="6" t="inlineStr">
        <is>
          <t>new</t>
        </is>
      </c>
      <c r="U73" s="6" t="inlineStr">
        <is>
          <t>no</t>
        </is>
      </c>
      <c r="V73" s="6" t="n"/>
      <c r="W73" s="6" t="n"/>
      <c r="X73" s="6" t="n"/>
      <c r="Y73" s="6" t="n"/>
      <c r="Z73" s="6" t="n"/>
      <c r="AA73" s="6" t="n"/>
      <c r="AB73" s="6" t="n"/>
      <c r="AC73" s="6" t="n"/>
      <c r="AD73" s="6" t="n"/>
      <c r="AE73" s="6" t="n"/>
      <c r="AF73" s="6" t="n"/>
      <c r="AG73" s="6" t="n"/>
      <c r="AH73" s="6" t="n"/>
      <c r="AI73" s="6" t="n"/>
      <c r="AJ73" s="6" t="n"/>
      <c r="AK73" s="6" t="n"/>
      <c r="AL73" s="3" t="n">
        <v>500</v>
      </c>
    </row>
    <row r="74">
      <c r="A74" s="3" t="n">
        <v>49248</v>
      </c>
      <c r="B74" s="14" t="inlineStr">
        <is>
          <t>Easy Barf Rotbarsch 150g</t>
        </is>
      </c>
      <c r="C74"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4" s="6" t="inlineStr">
        <is>
          <t>in_stock</t>
        </is>
      </c>
      <c r="E74" s="6" t="n"/>
      <c r="F74" s="6" t="n"/>
      <c r="G74" s="11" t="inlineStr">
        <is>
          <t>https://www.fellkost.de/content/partners/466587/shop/shop/article/49248/easy_barf_rotbarsch_150g_1_stueck_?category=62269</t>
        </is>
      </c>
      <c r="H74" s="6" t="n"/>
      <c r="I74" s="13" t="inlineStr">
        <is>
          <t>https://www.fellkost.de/static/content/e18829/e18831/e18851/e37410/e47541/image_shop1/ger/Rotbarsch_w480_h480_q90_jpg.jpg?checksum=0c59e6fe5bafbee5bf70489817ae48b178b50e89</t>
        </is>
      </c>
      <c r="J74" s="7" t="n">
        <v>16.9</v>
      </c>
      <c r="K74" s="6" t="n"/>
      <c r="L74" s="6" t="n"/>
      <c r="M74" s="6" t="inlineStr">
        <is>
          <t>no</t>
        </is>
      </c>
      <c r="N74" s="6" t="n"/>
      <c r="O74" s="6" t="n"/>
      <c r="P74" s="6" t="inlineStr">
        <is>
          <t>ANIfit</t>
        </is>
      </c>
      <c r="Q74" s="13" t="n"/>
      <c r="R74" s="6" t="n"/>
      <c r="S74" s="6" t="n"/>
      <c r="T74" s="6" t="inlineStr">
        <is>
          <t>new</t>
        </is>
      </c>
      <c r="U74" s="6" t="inlineStr">
        <is>
          <t>no</t>
        </is>
      </c>
      <c r="V74" s="6" t="n"/>
      <c r="W74" s="6" t="n"/>
      <c r="X74" s="6" t="n"/>
      <c r="Y74" s="6" t="n"/>
      <c r="Z74" s="6" t="n"/>
      <c r="AA74" s="6" t="n"/>
      <c r="AB74" s="6" t="n"/>
      <c r="AC74" s="6" t="n"/>
      <c r="AD74" s="6" t="n"/>
      <c r="AE74" s="6" t="n"/>
      <c r="AF74" s="6" t="n"/>
      <c r="AG74" s="6" t="n"/>
      <c r="AH74" s="6" t="n"/>
      <c r="AI74" s="6" t="n"/>
      <c r="AJ74" s="6" t="n"/>
      <c r="AK74" s="6" t="n"/>
      <c r="AL74" s="3" t="n">
        <v>500</v>
      </c>
    </row>
    <row r="75">
      <c r="A75" s="3" t="n">
        <v>49246</v>
      </c>
      <c r="B75" s="14" t="inlineStr">
        <is>
          <t>Easy Barf Hühnerherzen 400g</t>
        </is>
      </c>
      <c r="C75"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5" s="6" t="inlineStr">
        <is>
          <t>in_stock</t>
        </is>
      </c>
      <c r="E75" s="6" t="n"/>
      <c r="F75" s="6" t="n"/>
      <c r="G75" s="11" t="inlineStr">
        <is>
          <t>https://www.fellkost.de/content/partners/466587/shop/shop/article/49246/easy_barf_huehnerherzen_400g_1_stueck_?category=62269</t>
        </is>
      </c>
      <c r="H75" s="6" t="n"/>
      <c r="I75" s="13" t="inlineStr">
        <is>
          <t>https://www.fellkost.de/static/content/e18829/e18831/e18851/e37410/e47540/image_shop1/ger/H%C3%BChnerherzen_w480_h480_q90_jpg.jpg?checksum=55db9208bfc5134f5252913d22a66b3744cccf1f</t>
        </is>
      </c>
      <c r="J75" s="7" t="n">
        <v>29.9</v>
      </c>
      <c r="K75" s="6" t="n"/>
      <c r="L75" s="6" t="n"/>
      <c r="M75" s="6" t="inlineStr">
        <is>
          <t>no</t>
        </is>
      </c>
      <c r="N75" s="6" t="n"/>
      <c r="O75" s="6" t="n"/>
      <c r="P75" s="6" t="inlineStr">
        <is>
          <t>ANIfit</t>
        </is>
      </c>
      <c r="Q75" s="13" t="n"/>
      <c r="R75" s="6" t="n"/>
      <c r="S75" s="6" t="n"/>
      <c r="T75" s="6" t="inlineStr">
        <is>
          <t>new</t>
        </is>
      </c>
      <c r="U75" s="6" t="inlineStr">
        <is>
          <t>no</t>
        </is>
      </c>
      <c r="V75" s="6" t="n"/>
      <c r="W75" s="6" t="n"/>
      <c r="X75" s="6" t="n"/>
      <c r="Y75" s="6" t="n"/>
      <c r="Z75" s="6" t="n"/>
      <c r="AA75" s="6" t="n"/>
      <c r="AB75" s="6" t="n"/>
      <c r="AC75" s="6" t="n"/>
      <c r="AD75" s="6" t="n"/>
      <c r="AE75" s="6" t="n"/>
      <c r="AF75" s="6" t="n"/>
      <c r="AG75" s="6" t="n"/>
      <c r="AH75" s="6" t="n"/>
      <c r="AI75" s="6" t="n"/>
      <c r="AJ75" s="6" t="n"/>
      <c r="AK75" s="6" t="n"/>
      <c r="AL75" s="3" t="n">
        <v>500</v>
      </c>
    </row>
    <row r="76">
      <c r="A76" s="3" t="n">
        <v>60268</v>
      </c>
      <c r="B76" s="14" t="inlineStr">
        <is>
          <t>Easy Barf Pferd 400g</t>
        </is>
      </c>
      <c r="C76"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6" s="6" t="inlineStr">
        <is>
          <t>in_stock</t>
        </is>
      </c>
      <c r="E76" s="6" t="n"/>
      <c r="F76" s="6" t="n"/>
      <c r="G76" s="11" t="inlineStr">
        <is>
          <t>https://www.fellkost.de/content/partners/466587/shop/shop/article/60268/easy_barf_pferd_400g_1_stueck_?category=62269</t>
        </is>
      </c>
      <c r="H76" s="6" t="n"/>
      <c r="I76" s="13" t="inlineStr">
        <is>
          <t>https://www.fellkost.de/static/content/e18829/e18831/e18851/e37410/e54505/image_shop1/ger/Pferd_w480_h480_q90_jpg.jpg?checksum=8d1ea43b2b9c06a8b28c7ae10c33519394a6e9d8</t>
        </is>
      </c>
      <c r="J76" s="7" t="n">
        <v>32.5</v>
      </c>
      <c r="K76" s="6" t="n"/>
      <c r="L76" s="6" t="n"/>
      <c r="M76" s="6" t="inlineStr">
        <is>
          <t>no</t>
        </is>
      </c>
      <c r="N76" s="6" t="n"/>
      <c r="O76" s="6" t="n"/>
      <c r="P76" s="6" t="inlineStr">
        <is>
          <t>ANIfit</t>
        </is>
      </c>
      <c r="Q76" s="13" t="n"/>
      <c r="R76" s="6" t="n"/>
      <c r="S76" s="6" t="n"/>
      <c r="T76" s="6" t="inlineStr">
        <is>
          <t>new</t>
        </is>
      </c>
      <c r="U76" s="6" t="inlineStr">
        <is>
          <t>no</t>
        </is>
      </c>
      <c r="V76" s="6" t="n"/>
      <c r="W76" s="6" t="n"/>
      <c r="X76" s="6" t="n"/>
      <c r="Y76" s="6" t="n"/>
      <c r="Z76" s="6" t="n"/>
      <c r="AA76" s="6" t="n"/>
      <c r="AB76" s="6" t="n"/>
      <c r="AC76" s="6" t="n"/>
      <c r="AD76" s="6" t="n"/>
      <c r="AE76" s="6" t="n"/>
      <c r="AF76" s="6" t="n"/>
      <c r="AG76" s="6" t="n"/>
      <c r="AH76" s="6" t="n"/>
      <c r="AI76" s="6" t="n"/>
      <c r="AJ76" s="6" t="n"/>
      <c r="AK76" s="6" t="n"/>
      <c r="AL76" s="3" t="n">
        <v>500</v>
      </c>
    </row>
    <row r="77">
      <c r="A77" s="3" t="n">
        <v>60270</v>
      </c>
      <c r="B77" s="14" t="inlineStr">
        <is>
          <t>Easy Barf Hase 300g</t>
        </is>
      </c>
      <c r="C77"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7" s="6" t="inlineStr">
        <is>
          <t>in_stock</t>
        </is>
      </c>
      <c r="E77" s="6" t="n"/>
      <c r="F77" s="6" t="n"/>
      <c r="G77" s="11" t="inlineStr">
        <is>
          <t>https://www.fellkost.de/content/partners/466587/shop/shop/article/60270/easy_barf_hase_300g_1_stueck_?category=62269</t>
        </is>
      </c>
      <c r="H77" s="6" t="n"/>
      <c r="I77" s="13" t="inlineStr">
        <is>
          <t>https://www.fellkost.de/static/content/e18829/e18831/e18851/e37410/e54506/image_shop1/ger/Hase_w480_h480_q90_jpg.jpg?checksum=d7c811a97ac130b2fc19574766a4f99a7a1b5e2b</t>
        </is>
      </c>
      <c r="J77" s="7" t="n">
        <v>28.6</v>
      </c>
      <c r="K77" s="6" t="n"/>
      <c r="L77" s="6" t="n"/>
      <c r="M77" s="6" t="inlineStr">
        <is>
          <t>no</t>
        </is>
      </c>
      <c r="N77" s="6" t="n"/>
      <c r="O77" s="6" t="n"/>
      <c r="P77" s="6" t="inlineStr">
        <is>
          <t>ANIfit</t>
        </is>
      </c>
      <c r="Q77" s="13" t="n"/>
      <c r="R77" s="6" t="n"/>
      <c r="S77" s="6" t="n"/>
      <c r="T77" s="6" t="inlineStr">
        <is>
          <t>new</t>
        </is>
      </c>
      <c r="U77" s="6" t="inlineStr">
        <is>
          <t>no</t>
        </is>
      </c>
      <c r="V77" s="6" t="n"/>
      <c r="W77" s="6" t="n"/>
      <c r="X77" s="6" t="n"/>
      <c r="Y77" s="6" t="n"/>
      <c r="Z77" s="6" t="n"/>
      <c r="AA77" s="6" t="n"/>
      <c r="AB77" s="6" t="n"/>
      <c r="AC77" s="6" t="n"/>
      <c r="AD77" s="6" t="n"/>
      <c r="AE77" s="6" t="n"/>
      <c r="AF77" s="6" t="n"/>
      <c r="AG77" s="6" t="n"/>
      <c r="AH77" s="6" t="n"/>
      <c r="AI77" s="6" t="n"/>
      <c r="AJ77" s="6" t="n"/>
      <c r="AK77" s="6" t="n"/>
      <c r="AL77" s="3" t="n">
        <v>500</v>
      </c>
    </row>
    <row r="78">
      <c r="A78" s="3" t="n">
        <v>49213</v>
      </c>
      <c r="B78" s="14" t="inlineStr">
        <is>
          <t>Easy Barf Hirsch 350g</t>
        </is>
      </c>
      <c r="C78" s="13" t="inlineStr">
        <is>
          <t>Gefriertrocknung
Durch unsere spezielle Gefriertrocknungstechnik bleiben Geschmack, Aroma und Nährstoffe maximal erhalten, das Fleisch ist lange haltbar.
Besonderheiten
Pures Fleisch - rasch zubereitet
Frei von jeglichen Zusätzen
Extrem Aromatisch
Voller Nähr- und Vitalstoffe
Frischegarantie
Zubereitung
Beutel öffnen und Inhalt mit warmem Wasser übergießen. Für 100 g verwenden Sie ca. 270 ml Wasser. Nach ca. 10 Minuten einmal umrühren und dann weitere 5 Minuten warten. Bei trockener Fütterung ausreichend Trinkwasser zur Verfügung stellen.</t>
        </is>
      </c>
      <c r="D78" s="6" t="inlineStr">
        <is>
          <t>in_stock</t>
        </is>
      </c>
      <c r="E78" s="6" t="n"/>
      <c r="F78" s="6" t="n"/>
      <c r="G78" s="11" t="inlineStr">
        <is>
          <t>https://www.fellkost.de/content/partners/466587/shop/shop/article/49213/easy_barf_hirsch_350g_1_stueck_?category=62269</t>
        </is>
      </c>
      <c r="H78" s="6" t="n"/>
      <c r="I78" s="13" t="inlineStr">
        <is>
          <t>https://www.fellkost.de/static/content/e18829/e18831/e18851/e37410/e47511/image_shop1/ger/Hirsch_w480_h480_q90_jpg.jpg?checksum=d428fa69fb6fdeed9921e20f58ec980b6c2d511a</t>
        </is>
      </c>
      <c r="J78" s="7" t="n">
        <v>31.7</v>
      </c>
      <c r="K78" s="6" t="n"/>
      <c r="L78" s="6" t="n"/>
      <c r="M78" s="6" t="inlineStr">
        <is>
          <t>no</t>
        </is>
      </c>
      <c r="N78" s="6" t="n"/>
      <c r="O78" s="6" t="n"/>
      <c r="P78" s="6" t="inlineStr">
        <is>
          <t>ANIfit</t>
        </is>
      </c>
      <c r="Q78" s="13" t="n"/>
      <c r="R78" s="6" t="n"/>
      <c r="S78" s="6" t="n"/>
      <c r="T78" s="6" t="inlineStr">
        <is>
          <t>new</t>
        </is>
      </c>
      <c r="U78" s="6" t="inlineStr">
        <is>
          <t>no</t>
        </is>
      </c>
      <c r="V78" s="6" t="n"/>
      <c r="W78" s="6" t="n"/>
      <c r="X78" s="6" t="n"/>
      <c r="Y78" s="6" t="n"/>
      <c r="Z78" s="6" t="n"/>
      <c r="AA78" s="6" t="n"/>
      <c r="AB78" s="6" t="n"/>
      <c r="AC78" s="6" t="n"/>
      <c r="AD78" s="6" t="n"/>
      <c r="AE78" s="6" t="n"/>
      <c r="AF78" s="6" t="n"/>
      <c r="AG78" s="6" t="n"/>
      <c r="AH78" s="6" t="n"/>
      <c r="AI78" s="6" t="n"/>
      <c r="AJ78" s="6" t="n"/>
      <c r="AK78" s="6" t="n"/>
      <c r="AL78" s="3" t="n">
        <v>500</v>
      </c>
    </row>
    <row r="79">
      <c r="A79" s="3" t="n">
        <v>78052</v>
      </c>
      <c r="B79" s="14" t="inlineStr">
        <is>
          <t>RyAnimal Ziege-Pur 400g | 6 Dosen</t>
        </is>
      </c>
      <c r="C79" s="13" t="inlineStr">
        <is>
          <t>Fleisch ist der Hauptbestandteil einer artgerechten Ernährung von Hunden und Katzen. Je nach Bedarf sind weitere Zutaten und Vitamine hinzuzufügen.
Zubereitung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
Vitamine und Mineralien
Um sämtliche Nährstoffbedürfnisse von Hunden und Katzen abzudecken, sind ergänzende Vitalstoffe notwendig. Wir empfehlen die Zugabe des Produktes Amovit, einer ausgewogenen Mischung aus natür_x001f_lichen Vitaminen und Mineralien, als Ergänzung zur Fleischfütterung.
Zertifizierungen
Unser Unternehmen (Provital GmbH) ist BIO-zertifiziert durch die BCS ÖKO Garantie GmbH (DE-ÖKO-001) und ISO-9001-zertifiziert durch die TÜV Süd Management Service GmbH.</t>
        </is>
      </c>
      <c r="D79" s="6" t="inlineStr">
        <is>
          <t>in_stock</t>
        </is>
      </c>
      <c r="E79" s="6" t="n"/>
      <c r="F79" s="6" t="n"/>
      <c r="G79" s="11" t="inlineStr">
        <is>
          <t>https://www.fellkost.de/content/partners/466587/shop/shop/article/78052/ryanimal_ziege-pur_400g_6_stueck_?category=62269</t>
        </is>
      </c>
      <c r="H79" s="6" t="n"/>
      <c r="I79" s="13" t="inlineStr">
        <is>
          <t>https://www.fellkost.de/static/content/e18829/e18831/e18851/e37410/e68121/image_shop1/ger/RyAnimal%20-%20Ziege%20400g_w480_h480_q90_jpg.jpg?checksum=fed06e6b12a81f4ad3dcb8050e4d754f552b4c8a</t>
        </is>
      </c>
      <c r="J79" s="7" t="n">
        <v>33.99</v>
      </c>
      <c r="K79" s="6" t="n"/>
      <c r="L79" s="6" t="n"/>
      <c r="M79" s="6" t="inlineStr">
        <is>
          <t>no</t>
        </is>
      </c>
      <c r="N79" s="6" t="n"/>
      <c r="O79" s="6" t="n"/>
      <c r="P79" s="6" t="inlineStr">
        <is>
          <t>ANIfit</t>
        </is>
      </c>
      <c r="Q79" s="13" t="n"/>
      <c r="R79" s="6" t="n"/>
      <c r="S79" s="6" t="n"/>
      <c r="T79" s="6" t="inlineStr">
        <is>
          <t>new</t>
        </is>
      </c>
      <c r="U79" s="6" t="inlineStr">
        <is>
          <t>no</t>
        </is>
      </c>
      <c r="V79" s="6" t="n"/>
      <c r="W79" s="6" t="n"/>
      <c r="X79" s="6" t="n"/>
      <c r="Y79" s="6" t="n"/>
      <c r="Z79" s="6" t="n"/>
      <c r="AA79" s="6" t="n"/>
      <c r="AB79" s="6" t="n"/>
      <c r="AC79" s="6" t="n"/>
      <c r="AD79" s="6" t="n"/>
      <c r="AE79" s="6" t="n"/>
      <c r="AF79" s="6" t="n"/>
      <c r="AG79" s="6" t="n"/>
      <c r="AH79" s="6" t="n"/>
      <c r="AI79" s="6" t="n"/>
      <c r="AJ79" s="6" t="n"/>
      <c r="AK79" s="6" t="n"/>
      <c r="AL79" s="3" t="n">
        <v>500</v>
      </c>
    </row>
    <row r="80">
      <c r="A80" s="3" t="n">
        <v>11310</v>
      </c>
      <c r="B80" s="14" t="inlineStr">
        <is>
          <t>Lachsöl für Hunde und Katzen (50ml)</t>
        </is>
      </c>
      <c r="C80" s="13" t="inlineStr">
        <is>
          <t>Diese Fettsäuren sind bei Hunden und Katzen wichtig für
den Fell- und Hautaufbau,
die Herz-Kreislauf Gesundheit,
die Immunabwehr,
die Gehirnaktivität und
die Gelenksfunktion und Mobilität.
Lachsöl enthält die für Katzen essenzielle Arachidonsäure, die nicht in Pflanzenölen enthalten ist. Die Arachidonsäure hat sich auch bei Fell- und Hautproblemen bestens bewährt.
Tipp: Futterumstellung
Der Geschmack von Lachsöl wird von Katzen sehr positiv wahrgenommen. Ein wenig Lachsöl kann helfen, den Katzen, die Umstellung auf eine neue Nahrung zu erleichtern. Einfach zu jeder Mahlzeit einen kleinen Löffel Lachsöl dazugeben.
Haltbarkeit
Wenn das Öl bei kühleren Temperaturen gelagert wird, kann es sich verfestigen. Das ist ein natürlicher Prozess, der sich wieder aufhebt, wenn das Öl erwärmt wird.</t>
        </is>
      </c>
      <c r="D80" s="6" t="inlineStr">
        <is>
          <t>in_stock</t>
        </is>
      </c>
      <c r="E80" s="6" t="n"/>
      <c r="F80" s="6" t="n"/>
      <c r="G80" s="11" t="inlineStr">
        <is>
          <t>https://www.fellkost.de/content/partners/466587/shop/shop/article/11310/lachsoel_50_ml_1_stueck_?category=62269</t>
        </is>
      </c>
      <c r="H80" s="6" t="n"/>
      <c r="I80" s="13" t="inlineStr">
        <is>
          <t>https://www.fellkost.de/static/content/e18829/e18831/e18851/e18901/e18930/image_shop1/ger/Hund%20Katze%20Nahrungserg%C3%A4nzung%20Lachs%C3%B6l%2050ml%201920%20x%201920_w480_h480_q90_jpg.jpg?checksum=f34ab417541fdf88ac34828e09f7b679d1675fe7</t>
        </is>
      </c>
      <c r="J80" s="7" t="n">
        <v>8.99</v>
      </c>
      <c r="K80" s="6" t="n"/>
      <c r="L80" s="6" t="n"/>
      <c r="M80" s="6" t="inlineStr">
        <is>
          <t>no</t>
        </is>
      </c>
      <c r="N80" s="6" t="n"/>
      <c r="O80" s="6" t="n"/>
      <c r="P80" s="6" t="inlineStr">
        <is>
          <t>ANIfit</t>
        </is>
      </c>
      <c r="Q80" s="13" t="n"/>
      <c r="R80" s="6" t="n"/>
      <c r="S80" s="6" t="n"/>
      <c r="T80" s="6" t="inlineStr">
        <is>
          <t>new</t>
        </is>
      </c>
      <c r="U80" s="6" t="inlineStr">
        <is>
          <t>no</t>
        </is>
      </c>
      <c r="V80" s="6" t="n"/>
      <c r="W80" s="6" t="n"/>
      <c r="X80" s="6" t="n"/>
      <c r="Y80" s="6" t="n"/>
      <c r="Z80" s="6" t="n"/>
      <c r="AA80" s="6" t="n"/>
      <c r="AB80" s="6" t="n"/>
      <c r="AC80" s="6" t="n"/>
      <c r="AD80" s="6" t="n"/>
      <c r="AE80" s="6" t="n"/>
      <c r="AF80" s="6" t="n"/>
      <c r="AG80" s="6" t="n"/>
      <c r="AH80" s="6" t="n"/>
      <c r="AI80" s="6" t="n"/>
      <c r="AJ80" s="6" t="n"/>
      <c r="AK80" s="6" t="n"/>
      <c r="AL80" s="3" t="n">
        <v>500</v>
      </c>
    </row>
    <row r="81">
      <c r="A81" s="3" t="n">
        <v>11295</v>
      </c>
      <c r="B81" s="14" t="inlineStr">
        <is>
          <t>Lachsöl für Hunde und Katzen (500ml)</t>
        </is>
      </c>
      <c r="C81" s="13" t="inlineStr">
        <is>
          <t>Diese Fettsäuren sind bei Hunden und Katzen wichtig für
den Fell- und Hautaufbau,
die Herz-Kreislauf Gesundheit,
die Immunabwehr,
die Gehirnaktivität und
die Gelenksfunktion und Mobilität.
Lachsöl enthält die für Katzen essenzielle Arachidonsäure, die nicht in Pflanzenölen enthalten ist. Die Arachidonsäure hat sich auch bei Fell- und Hautproblemen bestens bewährt.
Tipp: Futterumstellung
Der Geschmack von Lachsöl wird von Katzen sehr positiv wahrgenommen. Ein wenig Lachsöl kann helfen, den Katzen, die Umstellung auf eine neue Nahrung zu erleichtern. Einfach zu jeder Mahlzeit einen kleinen Löffel Lachsöl dazugeben.
Haltbarkeit
Wenn das Öl bei kühleren Temperaturen gelagert wird, kann es sich verfestigen. Das ist ein natürlicher Prozess, der sich wieder aufhebt, wenn das Öl erwärmt wird.</t>
        </is>
      </c>
      <c r="D81" s="6" t="inlineStr">
        <is>
          <t>in_stock</t>
        </is>
      </c>
      <c r="E81" s="6" t="n"/>
      <c r="F81" s="6" t="n"/>
      <c r="G81" s="11" t="inlineStr">
        <is>
          <t>https://www.fellkost.de/content/partners/466587/shop/shop/article/11295/lachsoel_500_ml_1_stueck_</t>
        </is>
      </c>
      <c r="H81" s="6" t="n"/>
      <c r="I81" s="13" t="inlineStr">
        <is>
          <t>https://www.fellkost.de/static/content/e18829/e18831/e18851/e18901/e18915/image_shop1/ger/Hund%20Katze%20Nahrungserg%C3%A4nzung%20Lachs%C3%B6l%20500ml%20dunkel%201920%20x%201920_w480_h480_q90_jpg.jpg?checksum=d6b39c321f572350a54256f1b06ac023d4921caa</t>
        </is>
      </c>
      <c r="J81" s="7" t="n">
        <v>22.99</v>
      </c>
      <c r="K81" s="6" t="n"/>
      <c r="L81" s="6" t="n"/>
      <c r="M81" s="6" t="inlineStr">
        <is>
          <t>no</t>
        </is>
      </c>
      <c r="N81" s="6" t="n"/>
      <c r="O81" s="6" t="n"/>
      <c r="P81" s="6" t="inlineStr">
        <is>
          <t>ANIfit</t>
        </is>
      </c>
      <c r="Q81" s="13" t="n"/>
      <c r="R81" s="6" t="n"/>
      <c r="S81" s="6" t="n"/>
      <c r="T81" s="6" t="inlineStr">
        <is>
          <t>new</t>
        </is>
      </c>
      <c r="U81" s="6" t="inlineStr">
        <is>
          <t>no</t>
        </is>
      </c>
      <c r="V81" s="6" t="n"/>
      <c r="W81" s="6" t="n"/>
      <c r="X81" s="6" t="n"/>
      <c r="Y81" s="6" t="n"/>
      <c r="Z81" s="6" t="n"/>
      <c r="AA81" s="6" t="n"/>
      <c r="AB81" s="6" t="n"/>
      <c r="AC81" s="6" t="n"/>
      <c r="AD81" s="6" t="n"/>
      <c r="AE81" s="6" t="n"/>
      <c r="AF81" s="6" t="n"/>
      <c r="AG81" s="6" t="n"/>
      <c r="AH81" s="6" t="n"/>
      <c r="AI81" s="6" t="n"/>
      <c r="AJ81" s="6" t="n"/>
      <c r="AK81" s="6" t="n"/>
      <c r="AL81" s="3" t="n">
        <v>500</v>
      </c>
    </row>
    <row r="82">
      <c r="A82" s="3" t="n">
        <v>26746</v>
      </c>
      <c r="B82" s="14" t="inlineStr">
        <is>
          <t>Amovit Hund 100g</t>
        </is>
      </c>
      <c r="C82" s="13" t="inlineStr">
        <is>
          <t>Barfer versuchen diesen Umstand durch eine sehr abwechslungsreiche Fütterung auszugleichen, können jedoch in keiner Weise nachvollziehen, ob die ausgewählte Nahrung tatsächlich alle notwendigen Nährstoffe enthält.
Mit AMOVIT präsentiert Anifit eine Neuheit, die für Barfer einmalig ist: eine Mischung aus Vitaminen und Mineralstoffen, die exakt auf eine Fleischfütterung abgestimmt ist.
Alle Bestandteile sind
Pflanzlichen,
frei von Konservierungsstoffen,
frei von anderen Zusätzen und
100 % NATÜRLICH</t>
        </is>
      </c>
      <c r="D82" s="6" t="inlineStr">
        <is>
          <t>in_stock</t>
        </is>
      </c>
      <c r="E82" s="6" t="n"/>
      <c r="F82" s="6" t="n"/>
      <c r="G82" s="11" t="inlineStr">
        <is>
          <t>https://www.fellkost.de/content/partners/466587/shop/shop/article/26746/amovit_hund_100g_1_stueck_</t>
        </is>
      </c>
      <c r="H82" s="6" t="n"/>
      <c r="I82" s="13" t="inlineStr">
        <is>
          <t>https://www.fellkost.de/static/content/e18829/e18831/e18851/e18901/e30163/image_shop1/ger/Hunde%20Nahrungserg%C3%A4nzung%20Amovit%20Hund%20100%20g%20%201920%20x%201920_w480_h480_q90_jpg.jpg?checksum=6a39d51cabcb8759ee17af1a9c43502b40053d3f</t>
        </is>
      </c>
      <c r="J82" s="7" t="n">
        <v>31</v>
      </c>
      <c r="K82" s="6" t="n"/>
      <c r="L82" s="6" t="n"/>
      <c r="M82" s="6" t="inlineStr">
        <is>
          <t>no</t>
        </is>
      </c>
      <c r="N82" s="6" t="n"/>
      <c r="O82" s="6" t="n"/>
      <c r="P82" s="6" t="inlineStr">
        <is>
          <t>ANIfit</t>
        </is>
      </c>
      <c r="Q82" s="13" t="n"/>
      <c r="R82" s="6" t="n"/>
      <c r="S82" s="6" t="n"/>
      <c r="T82" s="6" t="inlineStr">
        <is>
          <t>new</t>
        </is>
      </c>
      <c r="U82" s="6" t="inlineStr">
        <is>
          <t>no</t>
        </is>
      </c>
      <c r="V82" s="6" t="n"/>
      <c r="W82" s="6" t="n"/>
      <c r="X82" s="6" t="n"/>
      <c r="Y82" s="6" t="n"/>
      <c r="Z82" s="6" t="n"/>
      <c r="AA82" s="6" t="n"/>
      <c r="AB82" s="6" t="n"/>
      <c r="AC82" s="6" t="n"/>
      <c r="AD82" s="6" t="n"/>
      <c r="AE82" s="6" t="n"/>
      <c r="AF82" s="6" t="n"/>
      <c r="AG82" s="6" t="n"/>
      <c r="AH82" s="6" t="n"/>
      <c r="AI82" s="6" t="n"/>
      <c r="AJ82" s="6" t="n"/>
      <c r="AK82" s="6" t="n"/>
      <c r="AL82" s="3" t="n">
        <v>500</v>
      </c>
    </row>
    <row r="83">
      <c r="A83" s="3" t="n">
        <v>292287</v>
      </c>
      <c r="B83" s="14" t="inlineStr">
        <is>
          <t>Hühnersuppe 80g</t>
        </is>
      </c>
      <c r="C83" s="13" t="inlineStr">
        <is>
          <t>Der tägliche Flüssigkeitsbedarf von Hunden und Katzen liegt bei ca. 50 - 70 ml pro Kilo Körpergewicht. Mit den täglichen Mahlzeiten (mehr bei Nassfutter, weniger bei Trockenfutter) wird bereits ein Teil des Flüssigkeitsbedarfs abgedeckt.
Ausreichende (aber nicht zu viel) Flüssigkeit ist besonders für die Niere wichtig, damit diese ihre Filterfunktion wahrnehmen kann.
Zubereitung
Mit warmem Wasser mischen und fünf Minuten eindicken lassen. Für 6 Gramm Produkt (= ca. 2 gehäufte Teelöffel) 100 ml Wasser verwenden.</t>
        </is>
      </c>
      <c r="D83" s="6" t="inlineStr">
        <is>
          <t>in_stock</t>
        </is>
      </c>
      <c r="E83" s="6" t="n"/>
      <c r="F83" s="6" t="n"/>
      <c r="G83" s="11" t="inlineStr">
        <is>
          <t>https://www.fellkost.de/content/partners/466587/shop/shop/article/292287/huehnersuppe_80g_1_stueck_?category=62269</t>
        </is>
      </c>
      <c r="H83" s="6" t="n"/>
      <c r="I83" s="13" t="inlineStr">
        <is>
          <t>https://www.fellkost.de/static/content/e18829/e18831/e18851/e42803/e118447/image_shop1/ger/Hund%20Katze%20Nahrungserg%C3%A4nzung%20H%C3%BChnersuppe%2080g%201920%20x%201920_w480_h480_q90_jpg.jpg?checksum=52511ca338906b322eeb2df70a6792b6ca4c52d0</t>
        </is>
      </c>
      <c r="J83" s="7" t="n">
        <v>14.95</v>
      </c>
      <c r="K83" s="6" t="n"/>
      <c r="L83" s="6" t="n"/>
      <c r="M83" s="6" t="inlineStr">
        <is>
          <t>no</t>
        </is>
      </c>
      <c r="N83" s="6" t="n"/>
      <c r="O83" s="6" t="n"/>
      <c r="P83" s="6" t="inlineStr">
        <is>
          <t>ANIfit</t>
        </is>
      </c>
      <c r="Q83" s="13" t="n"/>
      <c r="R83" s="6" t="n"/>
      <c r="S83" s="6" t="n"/>
      <c r="T83" s="6" t="inlineStr">
        <is>
          <t>new</t>
        </is>
      </c>
      <c r="U83" s="6" t="inlineStr">
        <is>
          <t>no</t>
        </is>
      </c>
      <c r="V83" s="6" t="n"/>
      <c r="W83" s="6" t="n"/>
      <c r="X83" s="6" t="n"/>
      <c r="Y83" s="6" t="n"/>
      <c r="Z83" s="6" t="n"/>
      <c r="AA83" s="6" t="n"/>
      <c r="AB83" s="6" t="n"/>
      <c r="AC83" s="6" t="n"/>
      <c r="AD83" s="6" t="n"/>
      <c r="AE83" s="6" t="n"/>
      <c r="AF83" s="6" t="n"/>
      <c r="AG83" s="6" t="n"/>
      <c r="AH83" s="6" t="n"/>
      <c r="AI83" s="6" t="n"/>
      <c r="AJ83" s="6" t="n"/>
      <c r="AK83" s="6" t="n"/>
      <c r="AL83" s="3" t="n">
        <v>500</v>
      </c>
    </row>
    <row r="84">
      <c r="A84" s="3" t="n">
        <v>51808</v>
      </c>
      <c r="B84" s="14" t="inlineStr">
        <is>
          <t>Fleisch-Gewürz 20g</t>
        </is>
      </c>
      <c r="C84" s="13" t="inlineStr">
        <is>
          <t>Gewürze sind für uns ganz übliche Mittel, um einem Gericht eine besondere Geschmacksnote zu geben. Warum nicht auch bei Hunden und Katzen? Da beide gutes, frisches Fleisch und Fisch lieben, hat Anifit ein Fleisch-Gewürz entwickelt.
Die Anwendung ist sehr einfach, Sie streuen eine kleine Menge des „Gewürz“ über die Nahrung und geben dieser damit eine noch intensivere Note.
Tipp: Das Anifit Fleisch-Gewürz und Anifit Fisch-Gewürz eignet sich auch besonders gut bei Katzen während der Futterumstellung, um sie von einem bisher gewohnten Futter zu „entwöhnen“.
Ohne Zusätze
100 % Natur</t>
        </is>
      </c>
      <c r="D84" s="6" t="inlineStr">
        <is>
          <t>in_stock</t>
        </is>
      </c>
      <c r="E84" s="6" t="n"/>
      <c r="F84" s="6" t="n"/>
      <c r="G84" s="11" t="inlineStr">
        <is>
          <t>https://www.fellkost.de/content/partners/466587/shop/shop/article/51808/fleisch-gewuerz_20g_1_stueck_?category=62269</t>
        </is>
      </c>
      <c r="H84" s="6" t="n"/>
      <c r="I84" s="13" t="inlineStr">
        <is>
          <t>https://www.fellkost.de/static/content/e18829/e18831/e18851/e42803/e49608/image_shop1/ger/Hund%20Katze%20Nahrungserg%C3%A4nzung%20Fleisch%20Gew%C3%BCrz%2020g%201920%20x%201920_w480_h480_q90_jpg.jpg?checksum=111cb444aab6827116ce832c4efeb625a2940780</t>
        </is>
      </c>
      <c r="J84" s="7" t="n">
        <v>7</v>
      </c>
      <c r="K84" s="6" t="n"/>
      <c r="L84" s="6" t="n"/>
      <c r="M84" s="6" t="inlineStr">
        <is>
          <t>no</t>
        </is>
      </c>
      <c r="N84" s="6" t="n"/>
      <c r="O84" s="6" t="n"/>
      <c r="P84" s="6" t="inlineStr">
        <is>
          <t>ANIfit</t>
        </is>
      </c>
      <c r="Q84" s="13" t="n"/>
      <c r="R84" s="6" t="n"/>
      <c r="S84" s="6" t="n"/>
      <c r="T84" s="6" t="inlineStr">
        <is>
          <t>new</t>
        </is>
      </c>
      <c r="U84" s="6" t="inlineStr">
        <is>
          <t>no</t>
        </is>
      </c>
      <c r="V84" s="6" t="n"/>
      <c r="W84" s="6" t="n"/>
      <c r="X84" s="6" t="n"/>
      <c r="Y84" s="6" t="n"/>
      <c r="Z84" s="6" t="n"/>
      <c r="AA84" s="6" t="n"/>
      <c r="AB84" s="6" t="n"/>
      <c r="AC84" s="6" t="n"/>
      <c r="AD84" s="6" t="n"/>
      <c r="AE84" s="6" t="n"/>
      <c r="AF84" s="6" t="n"/>
      <c r="AG84" s="6" t="n"/>
      <c r="AH84" s="6" t="n"/>
      <c r="AI84" s="6" t="n"/>
      <c r="AJ84" s="6" t="n"/>
      <c r="AK84" s="6" t="n"/>
      <c r="AL84" s="3" t="n">
        <v>500</v>
      </c>
    </row>
    <row r="85">
      <c r="A85" s="3" t="n">
        <v>51810</v>
      </c>
      <c r="B85" s="14" t="inlineStr">
        <is>
          <t>Fisch-Gewürz 20g</t>
        </is>
      </c>
      <c r="C85" s="13" t="inlineStr">
        <is>
          <t>Gewürze sind für uns ganz übliche Mittel, um einem Gericht eine besondere Geschmacksnote zu geben. Warum nicht auch bei Hunden und Katzen? Da beide gutes, frisches Fleisch und Fisch lieben, hat Anifit ein Fisch-Gewürz entwickelt.
Die Anwendung ist sehr einfach, Sie streuen eine kleine Menge des „Gewürz“ über die Nahrung und geben dieser damit eine noch intensivere Note.
Tipp: Das Anifit Fleisch-Gewürz und Anifit Fisch-Gewürz eignet sich auch besonders gut bei Katzen während der Futterumstellung, um sie von einem bisher gewohnten Futter zu „entwöhnen“.
Ohne Zusätze
100 % Natur</t>
        </is>
      </c>
      <c r="D85" s="6" t="inlineStr">
        <is>
          <t>in_stock</t>
        </is>
      </c>
      <c r="E85" s="6" t="n"/>
      <c r="F85" s="6" t="n"/>
      <c r="G85" s="11" t="inlineStr">
        <is>
          <t>https://www.fellkost.de/content/partners/466587/shop/shop/article/51810/fisch-gewuerz_20g_1_stueck_?category=62269</t>
        </is>
      </c>
      <c r="H85" s="6" t="n"/>
      <c r="I85" s="14" t="inlineStr">
        <is>
          <t>https://www.fellkost.de/static/content/e18829/e18831/e18851/e42803/e49609/image_shop1/ger/Hund%20Katze%20Nahrungserg%C3%A4nzung%20Fisch%20Gew%C3%BCrz%2020g%201920%20x%201920_w480_h480_q90_jpg.jpg?checksum=5c26bf4347c0c41fe8ef1c281ac3a1240099bef4</t>
        </is>
      </c>
      <c r="J85" s="7" t="n">
        <v>7.5</v>
      </c>
      <c r="K85" s="6" t="n"/>
      <c r="L85" s="6" t="n"/>
      <c r="M85" s="6" t="inlineStr">
        <is>
          <t>no</t>
        </is>
      </c>
      <c r="N85" s="6" t="n"/>
      <c r="O85" s="6" t="n"/>
      <c r="P85" s="6" t="inlineStr">
        <is>
          <t>ANIfit</t>
        </is>
      </c>
      <c r="Q85" s="13" t="n"/>
      <c r="R85" s="6" t="n"/>
      <c r="S85" s="6" t="n"/>
      <c r="T85" s="6" t="inlineStr">
        <is>
          <t>new</t>
        </is>
      </c>
      <c r="U85" s="6" t="inlineStr">
        <is>
          <t>no</t>
        </is>
      </c>
      <c r="V85" s="6" t="n"/>
      <c r="W85" s="6" t="n"/>
      <c r="X85" s="6" t="n"/>
      <c r="Y85" s="6" t="n"/>
      <c r="Z85" s="6" t="n"/>
      <c r="AA85" s="6" t="n"/>
      <c r="AB85" s="6" t="n"/>
      <c r="AC85" s="6" t="n"/>
      <c r="AD85" s="6" t="n"/>
      <c r="AE85" s="6" t="n"/>
      <c r="AF85" s="6" t="n"/>
      <c r="AG85" s="6" t="n"/>
      <c r="AH85" s="6" t="n"/>
      <c r="AI85" s="6" t="n"/>
      <c r="AJ85" s="6" t="n"/>
      <c r="AK85" s="6" t="n"/>
      <c r="AL85" s="3" t="n">
        <v>500</v>
      </c>
    </row>
    <row r="86">
      <c r="A86" s="3" t="n">
        <v>55072</v>
      </c>
      <c r="B86" s="14" t="inlineStr">
        <is>
          <t>Rinderfett 100g</t>
        </is>
      </c>
      <c r="C86" s="13" t="inlineStr">
        <is>
          <t>Fett liefert sehr viel Energie und ist daher in intensiven Situationen, wie körperliche Anstrengung, Trächtigkeit oder Rekonvaleszenz, eine geeignete Fütterungsmethode.
Auch unterernährte Tiere können mit einem zusätzlichen Fettanteil rascher wieder zum Normalgewicht geführt werden. Sollte es notwendig sein, kann ein kleiner Fettwürfel auch als Appetitanreger verwendet werden.
Das Rinderfett ist frei von jeglichen Zusätzen (100 % Natur) und nicht mit Zucker oder anderen Zutaten vermischt. Es kann schnell vom Körper verwertet werden und befriedigt rasch den Energiebedarf der Tiere.</t>
        </is>
      </c>
      <c r="D86" s="6" t="inlineStr">
        <is>
          <t>in_stock</t>
        </is>
      </c>
      <c r="E86" s="6" t="n"/>
      <c r="F86" s="6" t="n"/>
      <c r="G86" s="11" t="inlineStr">
        <is>
          <t>https://www.fellkost.de/content/partners/466587/shop/shop/article/55072/rinderfett_100g_1_packung_?category=62269</t>
        </is>
      </c>
      <c r="H86" s="6" t="n"/>
      <c r="I86" s="13" t="inlineStr">
        <is>
          <t>https://www.fellkost.de/static/content/e18829/e18831/e18851/e42803/e51957/image_shop1/ger/Rinderfett-2_w480_h480_q90_jpg.jpg?checksum=761e66ff0eab9fecdfcb7606c65001a360d2ebdb</t>
        </is>
      </c>
      <c r="J86" s="7" t="n">
        <v>12</v>
      </c>
      <c r="K86" s="6" t="n"/>
      <c r="L86" s="6" t="n"/>
      <c r="M86" s="6" t="inlineStr">
        <is>
          <t>no</t>
        </is>
      </c>
      <c r="N86" s="6" t="n"/>
      <c r="O86" s="6" t="n"/>
      <c r="P86" s="6" t="inlineStr">
        <is>
          <t>ANIfit</t>
        </is>
      </c>
      <c r="Q86" s="13" t="n"/>
      <c r="R86" s="6" t="n"/>
      <c r="S86" s="6" t="n"/>
      <c r="T86" s="6" t="inlineStr">
        <is>
          <t>new</t>
        </is>
      </c>
      <c r="U86" s="6" t="inlineStr">
        <is>
          <t>no</t>
        </is>
      </c>
      <c r="V86" s="6" t="n"/>
      <c r="W86" s="6" t="n"/>
      <c r="X86" s="6" t="n"/>
      <c r="Y86" s="6" t="n"/>
      <c r="Z86" s="6" t="n"/>
      <c r="AA86" s="6" t="n"/>
      <c r="AB86" s="6" t="n"/>
      <c r="AC86" s="6" t="n"/>
      <c r="AD86" s="6" t="n"/>
      <c r="AE86" s="6" t="n"/>
      <c r="AF86" s="6" t="n"/>
      <c r="AG86" s="6" t="n"/>
      <c r="AH86" s="6" t="n"/>
      <c r="AI86" s="6" t="n"/>
      <c r="AJ86" s="6" t="n"/>
      <c r="AK86" s="6" t="n"/>
      <c r="AL86" s="3" t="n">
        <v>500</v>
      </c>
    </row>
    <row r="87">
      <c r="A87" s="3" t="n">
        <v>84045</v>
      </c>
      <c r="B87" s="14" t="inlineStr">
        <is>
          <t>Lammfett 200g</t>
        </is>
      </c>
      <c r="C87" s="13" t="inlineStr">
        <is>
          <t>Fett liefert sehr viel Energie und ist daher in intensiven Situationen, wie körperliche Anstrengung, Trächtigkeit oder Rekonvaleszenz, eine geeignete Fütterungsmethode.
Auch unterernährte Tiere können mit einem zusätzlichen Fettanteil rascher wieder zum Normalgewicht geführt werden. Sollte es notwendig sein, kann ein kleiner Fettwürfel auch als Appetitanreger verwendet werden.
Das Lammfett ist frei von jeglichen Zusätzen (100 % Natur) und nicht mit Zucker oder anderen Zutaten vermischt. Es kann schnell vom Körper verwertet werden und befriedigt rasch den Energiebedarf der Tiere.</t>
        </is>
      </c>
      <c r="D87" s="6" t="inlineStr">
        <is>
          <t>in_stock</t>
        </is>
      </c>
      <c r="E87" s="6" t="n"/>
      <c r="F87" s="6" t="n"/>
      <c r="G87" s="11" t="inlineStr">
        <is>
          <t>https://www.fellkost.de/content/partners/466587/shop/shop/article/84045/lammfett_200g_1_packung_?category=62269</t>
        </is>
      </c>
      <c r="H87" s="6" t="n"/>
      <c r="I87" s="13" t="inlineStr">
        <is>
          <t>https://www.fellkost.de/static/content/e18829/e18831/e18851/e42803/e72684/image_shop1/ger/Lammfett-1_w480_h480_q90_jpg.jpg?checksum=03372dca03a3e8c61b171fc612ef87dcb5dc089c</t>
        </is>
      </c>
      <c r="J87" s="7" t="n">
        <v>24</v>
      </c>
      <c r="K87" s="6" t="n"/>
      <c r="L87" s="6" t="n"/>
      <c r="M87" s="6" t="inlineStr">
        <is>
          <t>no</t>
        </is>
      </c>
      <c r="N87" s="6" t="n"/>
      <c r="O87" s="6" t="n"/>
      <c r="P87" s="6" t="inlineStr">
        <is>
          <t>ANIfit</t>
        </is>
      </c>
      <c r="Q87" s="13" t="n"/>
      <c r="R87" s="6" t="n"/>
      <c r="S87" s="6" t="n"/>
      <c r="T87" s="6" t="inlineStr">
        <is>
          <t>new</t>
        </is>
      </c>
      <c r="U87" s="6" t="inlineStr">
        <is>
          <t>no</t>
        </is>
      </c>
      <c r="V87" s="6" t="n"/>
      <c r="W87" s="6" t="n"/>
      <c r="X87" s="6" t="n"/>
      <c r="Y87" s="6" t="n"/>
      <c r="Z87" s="6" t="n"/>
      <c r="AA87" s="6" t="n"/>
      <c r="AB87" s="6" t="n"/>
      <c r="AC87" s="6" t="n"/>
      <c r="AD87" s="6" t="n"/>
      <c r="AE87" s="6" t="n"/>
      <c r="AF87" s="6" t="n"/>
      <c r="AG87" s="6" t="n"/>
      <c r="AH87" s="6" t="n"/>
      <c r="AI87" s="6" t="n"/>
      <c r="AJ87" s="6" t="n"/>
      <c r="AK87" s="6" t="n"/>
      <c r="AL87" s="3" t="n">
        <v>500</v>
      </c>
    </row>
    <row r="88">
      <c r="A88" s="3" t="n">
        <v>36785</v>
      </c>
      <c r="B88" s="14" t="inlineStr">
        <is>
          <t>Pro Taurin 90g</t>
        </is>
      </c>
      <c r="C88" s="13" t="inlineStr">
        <is>
          <t>Taurin ist ein lebenswichtiger Nährstoff, welcher vom Organismus der Katze nicht ausreichend hergestellt wird. Um den Bedarf Ihrer Katze an Taurin zu decken, fügen Sie eine kleine Menge PRO Taurin der täglichen Nahrung zu. PRO Taurin ist geruch- und geschmacklos und verändert nicht den Geschmack des Katzenfutters.
Hunde können Taurin selbst herstellen. Katzen bilden nur geringe Mengen, weshalb sie Taurin als Nährstoff aus ihrer Nahrung aufnehmen müssen.
Frei von Füllstoffen und Rieselhilfen.
Zertifizierungen
Unser Unternehmen (Provital GmbH) ist BIO-zertifiziert durch die BCS ÖKO Garantie GmbH (DE-ÖKO-001) und ISO-9001-zertifiziert durch die TÜV Süd Management Service GmbH.</t>
        </is>
      </c>
      <c r="D88" s="6" t="inlineStr">
        <is>
          <t>in_stock</t>
        </is>
      </c>
      <c r="E88" s="6" t="n"/>
      <c r="F88" s="6" t="n"/>
      <c r="G88" s="11" t="inlineStr">
        <is>
          <t>https://www.fellkost.de/content/partners/466587/shop/shop/article/36785/pro_taurin_90g_1_stueck_?category=62269</t>
        </is>
      </c>
      <c r="H88" s="6" t="n"/>
      <c r="I88" s="14" t="inlineStr">
        <is>
          <t>https://www.fellkost.de/static/content/e18829/e18831/e18851/e18901/e37858/image_shop1/ger/Katze%20Nahrungserg%C3%A4nzung%20Taurin%2090g%201920%20x%201920_w480_h480_q90_jpg.jpg?checksum=1085f511e7f2ca336804dbb30a267231865a90bd</t>
        </is>
      </c>
      <c r="J88" s="7" t="n">
        <v>11.4</v>
      </c>
      <c r="K88" s="6" t="n"/>
      <c r="L88" s="6" t="n"/>
      <c r="M88" s="6" t="inlineStr">
        <is>
          <t>no</t>
        </is>
      </c>
      <c r="N88" s="6" t="n"/>
      <c r="O88" s="6" t="n"/>
      <c r="P88" s="6" t="inlineStr">
        <is>
          <t>ANIfit</t>
        </is>
      </c>
      <c r="Q88" s="13" t="n"/>
      <c r="R88" s="6" t="n"/>
      <c r="S88" s="6" t="n"/>
      <c r="T88" s="6" t="inlineStr">
        <is>
          <t>new</t>
        </is>
      </c>
      <c r="U88" s="6" t="inlineStr">
        <is>
          <t>no</t>
        </is>
      </c>
      <c r="V88" s="6" t="n"/>
      <c r="W88" s="6" t="n"/>
      <c r="X88" s="6" t="n"/>
      <c r="Y88" s="6" t="n"/>
      <c r="Z88" s="6" t="n"/>
      <c r="AA88" s="6" t="n"/>
      <c r="AB88" s="6" t="n"/>
      <c r="AC88" s="6" t="n"/>
      <c r="AD88" s="6" t="n"/>
      <c r="AE88" s="6" t="n"/>
      <c r="AF88" s="6" t="n"/>
      <c r="AG88" s="6" t="n"/>
      <c r="AH88" s="6" t="n"/>
      <c r="AI88" s="6" t="n"/>
      <c r="AJ88" s="6" t="n"/>
      <c r="AK88" s="6" t="n"/>
      <c r="AL88" s="3" t="n">
        <v>500</v>
      </c>
    </row>
    <row r="89">
      <c r="A89" s="3" t="n">
        <v>50753</v>
      </c>
      <c r="B89" s="14" t="inlineStr">
        <is>
          <t>Calcium 250g</t>
        </is>
      </c>
      <c r="C89" s="13" t="inlineStr">
        <is>
          <t>Bei der Fütterung von Hunden und Katzen ist ein wichtiges Element, dass die Nahrung ein klein wenig mehr an Calcium als Phosphor enthalten soll.
Fleisch enthält zwar Phosphor aber in der Regel nur ganz wenig oder gar kein Calcium. Diese Mangel kann durch die (vorsichtige) Zugabe von Calcium ausgeglichen werden.
Unser Calciumcarbonat stammt aus Marmor und ist damit aus natürlichen Quellen, während das häufig verwendete Calciumcitrat synthetisch hergestellt wird.</t>
        </is>
      </c>
      <c r="D89" s="6" t="inlineStr">
        <is>
          <t>in_stock</t>
        </is>
      </c>
      <c r="E89" s="6" t="n"/>
      <c r="F89" s="6" t="n"/>
      <c r="G89" s="11" t="inlineStr">
        <is>
          <t>https://www.fellkost.de/content/partners/466587/shop/shop/article/50753/calcium_250g_1_stueck_?category=62269</t>
        </is>
      </c>
      <c r="H89" s="6" t="n"/>
      <c r="I89" s="13" t="inlineStr">
        <is>
          <t>https://www.fellkost.de/static/content/e18829/e18831/e18851/e18901/e48753/image_shop1/ger/Hund%20Nahrungserg%C3%A4nzung%20Calcium%20250g%20%201920%20x%201920_w480_h480_q90_jpg.jpg?checksum=196daff6e78f662402697259ea7c3cb8792de888</t>
        </is>
      </c>
      <c r="J89" s="7" t="n">
        <v>6.8</v>
      </c>
      <c r="K89" s="6" t="n"/>
      <c r="L89" s="6" t="n"/>
      <c r="M89" s="6" t="inlineStr">
        <is>
          <t>no</t>
        </is>
      </c>
      <c r="N89" s="6" t="n"/>
      <c r="O89" s="6" t="n"/>
      <c r="P89" s="6" t="inlineStr">
        <is>
          <t>ANIfit</t>
        </is>
      </c>
      <c r="Q89" s="13" t="n"/>
      <c r="R89" s="6" t="n"/>
      <c r="S89" s="6" t="n"/>
      <c r="T89" s="6" t="inlineStr">
        <is>
          <t>new</t>
        </is>
      </c>
      <c r="U89" s="6" t="inlineStr">
        <is>
          <t>no</t>
        </is>
      </c>
      <c r="V89" s="6" t="n"/>
      <c r="W89" s="6" t="n"/>
      <c r="X89" s="6" t="n"/>
      <c r="Y89" s="6" t="n"/>
      <c r="Z89" s="6" t="n"/>
      <c r="AA89" s="6" t="n"/>
      <c r="AB89" s="6" t="n"/>
      <c r="AC89" s="6" t="n"/>
      <c r="AD89" s="6" t="n"/>
      <c r="AE89" s="6" t="n"/>
      <c r="AF89" s="6" t="n"/>
      <c r="AG89" s="6" t="n"/>
      <c r="AH89" s="6" t="n"/>
      <c r="AI89" s="6" t="n"/>
      <c r="AJ89" s="6" t="n"/>
      <c r="AK89" s="6" t="n"/>
      <c r="AL89" s="3" t="n">
        <v>500</v>
      </c>
    </row>
    <row r="90">
      <c r="A90" s="3" t="n">
        <v>115810</v>
      </c>
      <c r="B90" s="14" t="inlineStr">
        <is>
          <t>Rinder-Bratwurst Leckerli 100g  | Anifit Leckerlies für Ihre Haustiere</t>
        </is>
      </c>
      <c r="C90"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Besonderheiten
Frei von Konservierungsstoffen
Frei von Zusätzen
Glutenfrei
Das Fleisch wurde weder bestrahlt noch mit Chlor behandelt</t>
        </is>
      </c>
      <c r="D90" s="6" t="inlineStr">
        <is>
          <t>in_stock</t>
        </is>
      </c>
      <c r="E90" s="6" t="n"/>
      <c r="F90" s="6" t="n"/>
      <c r="G90" s="11" t="inlineStr">
        <is>
          <t>https://www.fellkost.de/content/partners/466587/shop/shop/article/115810/rinder-bratwurst_100g_1_stueck_?category=62193</t>
        </is>
      </c>
      <c r="H90" s="6" t="n"/>
      <c r="I90" s="13" t="inlineStr">
        <is>
          <t>https://www.fellkost.de/static/content/e18829/e18831/e18851/e42803/e94113/image_shop1/ger/Rinderbratwurst_1_w480_h480_q90_jpg.jpg?checksum=53aa23720d945d95fa2dc28c8914e10c7731f7eb</t>
        </is>
      </c>
      <c r="J90" s="7" t="n">
        <v>9.699999999999999</v>
      </c>
      <c r="K90" s="6" t="n"/>
      <c r="L90" s="6" t="n"/>
      <c r="M90" s="6" t="inlineStr">
        <is>
          <t>no</t>
        </is>
      </c>
      <c r="N90" s="6" t="n"/>
      <c r="O90" s="6" t="n"/>
      <c r="P90" s="6" t="inlineStr">
        <is>
          <t>ANIfit</t>
        </is>
      </c>
      <c r="Q90" s="13" t="n"/>
      <c r="R90" s="6" t="n"/>
      <c r="S90" s="6" t="n"/>
      <c r="T90" s="6" t="inlineStr">
        <is>
          <t>new</t>
        </is>
      </c>
      <c r="U90" s="6" t="inlineStr">
        <is>
          <t>no</t>
        </is>
      </c>
      <c r="V90" s="6" t="n"/>
      <c r="W90" s="6" t="n"/>
      <c r="X90" s="6" t="n"/>
      <c r="Y90" s="6" t="n"/>
      <c r="Z90" s="6" t="n"/>
      <c r="AA90" s="6" t="n"/>
      <c r="AB90" s="6" t="n"/>
      <c r="AC90" s="6" t="n"/>
      <c r="AD90" s="6" t="n"/>
      <c r="AE90" s="6" t="n"/>
      <c r="AF90" s="6" t="n"/>
      <c r="AG90" s="6" t="n"/>
      <c r="AH90" s="6" t="n"/>
      <c r="AI90" s="6" t="n"/>
      <c r="AJ90" s="6" t="n"/>
      <c r="AK90" s="6" t="n"/>
      <c r="AL90" s="3" t="n">
        <v>500</v>
      </c>
    </row>
    <row r="91">
      <c r="A91" s="3" t="n">
        <v>11272</v>
      </c>
      <c r="B91" s="14" t="inlineStr">
        <is>
          <t>Hühnerherzen Leckerli 35g  | Anifit Leckerlies für Ihre Haustiere</t>
        </is>
      </c>
      <c r="C91"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91" s="6" t="inlineStr">
        <is>
          <t>in_stock</t>
        </is>
      </c>
      <c r="E91" s="6" t="n"/>
      <c r="F91" s="6" t="n"/>
      <c r="G91" s="11" t="inlineStr">
        <is>
          <t>https://www.fellkost.de/content/partners/466587/shop/shop/article/11272/huehnerherzen_35g_1_stueck_?category=62193</t>
        </is>
      </c>
      <c r="H91" s="6" t="n"/>
      <c r="I91" s="13" t="inlineStr">
        <is>
          <t>https://www.fellkost.de/static/content/e18829/e18831/e18851/e42803/e18892/image_shop1/ger/Mockup%20H%C3%BChnerherzen_w480_h480_q90_jpg.jpg?checksum=1a6307d65055bd7984b6dece959bd1680c889de0</t>
        </is>
      </c>
      <c r="J91" s="7" t="n">
        <v>5.9</v>
      </c>
      <c r="K91" s="6" t="n"/>
      <c r="L91" s="6" t="n"/>
      <c r="M91" s="6" t="inlineStr">
        <is>
          <t>no</t>
        </is>
      </c>
      <c r="N91" s="6" t="n"/>
      <c r="O91" s="6" t="n"/>
      <c r="P91" s="6" t="inlineStr">
        <is>
          <t>ANIfit</t>
        </is>
      </c>
      <c r="Q91" s="13" t="n"/>
      <c r="R91" s="6" t="n"/>
      <c r="S91" s="6" t="n"/>
      <c r="T91" s="6" t="inlineStr">
        <is>
          <t>new</t>
        </is>
      </c>
      <c r="U91" s="6" t="inlineStr">
        <is>
          <t>no</t>
        </is>
      </c>
      <c r="V91" s="6" t="n"/>
      <c r="W91" s="6" t="n"/>
      <c r="X91" s="6" t="n"/>
      <c r="Y91" s="6" t="n"/>
      <c r="Z91" s="6" t="n"/>
      <c r="AA91" s="6" t="n"/>
      <c r="AB91" s="6" t="n"/>
      <c r="AC91" s="6" t="n"/>
      <c r="AD91" s="6" t="n"/>
      <c r="AE91" s="6" t="n"/>
      <c r="AF91" s="6" t="n"/>
      <c r="AG91" s="6" t="n"/>
      <c r="AH91" s="6" t="n"/>
      <c r="AI91" s="6" t="n"/>
      <c r="AJ91" s="6" t="n"/>
      <c r="AK91" s="6" t="n"/>
      <c r="AL91" s="3" t="n">
        <v>500</v>
      </c>
    </row>
    <row r="92">
      <c r="A92" s="3" t="n">
        <v>316404</v>
      </c>
      <c r="B92" s="14" t="inlineStr">
        <is>
          <t>Happy Birthday Leckerli 35g  | Anifit Leckerlies für Ihre Haustiere</t>
        </is>
      </c>
      <c r="C92"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92" s="6" t="inlineStr">
        <is>
          <t>in_stock</t>
        </is>
      </c>
      <c r="E92" s="6" t="n"/>
      <c r="F92" s="6" t="n"/>
      <c r="G92" s="11" t="inlineStr">
        <is>
          <t>https://www.fellkost.de/content/partners/466587/shop/shop/article/316404/happy_birthday_35g_1_stueck_?category=62193</t>
        </is>
      </c>
      <c r="H92" s="6" t="n"/>
      <c r="I92" s="13" t="inlineStr">
        <is>
          <t>https://www.fellkost.de/static/content/e18829/e18831/e18851/e42803/e133290/image_shop1/ger/HappyBirthday-1_w480_h480_q90_jpg.jpg?checksum=f740acefb0f17e49acdb563e7fb5f163b4c2bb02</t>
        </is>
      </c>
      <c r="J92" s="7" t="n">
        <v>7.7</v>
      </c>
      <c r="K92" s="6" t="n"/>
      <c r="L92" s="6" t="n"/>
      <c r="M92" s="6" t="inlineStr">
        <is>
          <t>no</t>
        </is>
      </c>
      <c r="N92" s="6" t="n"/>
      <c r="O92" s="6" t="n"/>
      <c r="P92" s="6" t="inlineStr">
        <is>
          <t>ANIfit</t>
        </is>
      </c>
      <c r="Q92" s="13" t="n"/>
      <c r="R92" s="6" t="n"/>
      <c r="S92" s="6" t="n"/>
      <c r="T92" s="6" t="inlineStr">
        <is>
          <t>new</t>
        </is>
      </c>
      <c r="U92" s="6" t="inlineStr">
        <is>
          <t>no</t>
        </is>
      </c>
      <c r="V92" s="6" t="n"/>
      <c r="W92" s="6" t="n"/>
      <c r="X92" s="6" t="n"/>
      <c r="Y92" s="6" t="n"/>
      <c r="Z92" s="6" t="n"/>
      <c r="AA92" s="6" t="n"/>
      <c r="AB92" s="6" t="n"/>
      <c r="AC92" s="6" t="n"/>
      <c r="AD92" s="6" t="n"/>
      <c r="AE92" s="6" t="n"/>
      <c r="AF92" s="6" t="n"/>
      <c r="AG92" s="6" t="n"/>
      <c r="AH92" s="6" t="n"/>
      <c r="AI92" s="6" t="n"/>
      <c r="AJ92" s="6" t="n"/>
      <c r="AK92" s="6" t="n"/>
      <c r="AL92" s="3" t="n">
        <v>500</v>
      </c>
    </row>
    <row r="93">
      <c r="A93" s="3" t="n">
        <v>46473</v>
      </c>
      <c r="B93" s="14" t="inlineStr">
        <is>
          <t>Rinderleber Leckerli 35g  | Anifit Leckerlies für Ihre Haustiere</t>
        </is>
      </c>
      <c r="C93"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93" s="6" t="inlineStr">
        <is>
          <t>in_stock</t>
        </is>
      </c>
      <c r="E93" s="6" t="n"/>
      <c r="F93" s="6" t="n"/>
      <c r="G93" s="11" t="inlineStr">
        <is>
          <t>https://www.fellkost.de/content/partners/466587/shop/shop/article/46473/rinderleber_35g_1_stueck_?category=62193</t>
        </is>
      </c>
      <c r="H93" s="6" t="n"/>
      <c r="I93" s="13" t="inlineStr">
        <is>
          <t>https://www.fellkost.de/static/content/e18829/e18831/e18851/e42803/e45378/image_shop1/ger/Mockup%20Rinderleber_w480_h480_q90_jpg.jpg?checksum=40f11b461535c574fae42ef444163fe91c902d8c</t>
        </is>
      </c>
      <c r="J93" s="7" t="n">
        <v>5</v>
      </c>
      <c r="K93" s="6" t="n"/>
      <c r="L93" s="6" t="n"/>
      <c r="M93" s="6" t="inlineStr">
        <is>
          <t>no</t>
        </is>
      </c>
      <c r="N93" s="6" t="n"/>
      <c r="O93" s="6" t="n"/>
      <c r="P93" s="6" t="inlineStr">
        <is>
          <t>ANIfit</t>
        </is>
      </c>
      <c r="Q93" s="13" t="n"/>
      <c r="R93" s="6" t="n"/>
      <c r="S93" s="6" t="n"/>
      <c r="T93" s="6" t="inlineStr">
        <is>
          <t>new</t>
        </is>
      </c>
      <c r="U93" s="6" t="inlineStr">
        <is>
          <t>no</t>
        </is>
      </c>
      <c r="V93" s="6" t="n"/>
      <c r="W93" s="6" t="n"/>
      <c r="X93" s="6" t="n"/>
      <c r="Y93" s="6" t="n"/>
      <c r="Z93" s="6" t="n"/>
      <c r="AA93" s="6" t="n"/>
      <c r="AB93" s="6" t="n"/>
      <c r="AC93" s="6" t="n"/>
      <c r="AD93" s="6" t="n"/>
      <c r="AE93" s="6" t="n"/>
      <c r="AF93" s="6" t="n"/>
      <c r="AG93" s="6" t="n"/>
      <c r="AH93" s="6" t="n"/>
      <c r="AI93" s="6" t="n"/>
      <c r="AJ93" s="6" t="n"/>
      <c r="AK93" s="6" t="n"/>
      <c r="AL93" s="3" t="n">
        <v>500</v>
      </c>
    </row>
    <row r="94">
      <c r="A94" s="3" t="n">
        <v>46469</v>
      </c>
      <c r="B94" s="14" t="inlineStr">
        <is>
          <t>Ährenfische Leckerli 25g  | Anifit Leckerlies für Ihre Haustiere</t>
        </is>
      </c>
      <c r="C94"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Der Fisch wurde weder bestrahlt noch mit Chlor behandelt</t>
        </is>
      </c>
      <c r="D94" s="6" t="inlineStr">
        <is>
          <t>in_stock</t>
        </is>
      </c>
      <c r="E94" s="6" t="n"/>
      <c r="F94" s="6" t="n"/>
      <c r="G94" s="11" t="inlineStr">
        <is>
          <t>https://www.fellkost.de/content/partners/466587/shop/shop/article/46469/aehrenfische_25g_1_stueck_?category=62193</t>
        </is>
      </c>
      <c r="H94" s="6" t="n"/>
      <c r="I94" s="14" t="inlineStr">
        <is>
          <t>https://www.anifit.de/static/content/e18829/e18831/e18851/e42803/e45376/image_shop1/ger/Mockup%20%C3%84hrenfische_w480_h480_q90_jpg.jpg</t>
        </is>
      </c>
      <c r="J94" s="7" t="n">
        <v>5.3</v>
      </c>
      <c r="K94" s="6" t="n"/>
      <c r="L94" s="6" t="n"/>
      <c r="M94" s="6" t="inlineStr">
        <is>
          <t>no</t>
        </is>
      </c>
      <c r="N94" s="6" t="n"/>
      <c r="O94" s="6" t="n"/>
      <c r="P94" s="6" t="inlineStr">
        <is>
          <t>ANIfit</t>
        </is>
      </c>
      <c r="Q94" s="13" t="n"/>
      <c r="R94" s="6" t="n"/>
      <c r="S94" s="6" t="n"/>
      <c r="T94" s="6" t="inlineStr">
        <is>
          <t>new</t>
        </is>
      </c>
      <c r="U94" s="6" t="inlineStr">
        <is>
          <t>no</t>
        </is>
      </c>
      <c r="V94" s="6" t="n"/>
      <c r="W94" s="6" t="n"/>
      <c r="X94" s="6" t="n"/>
      <c r="Y94" s="6" t="n"/>
      <c r="Z94" s="6" t="n"/>
      <c r="AA94" s="6" t="n"/>
      <c r="AB94" s="6" t="n"/>
      <c r="AC94" s="6" t="n"/>
      <c r="AD94" s="6" t="n"/>
      <c r="AE94" s="6" t="n"/>
      <c r="AF94" s="6" t="n"/>
      <c r="AG94" s="6" t="n"/>
      <c r="AH94" s="6" t="n"/>
      <c r="AI94" s="6" t="n"/>
      <c r="AJ94" s="6" t="n"/>
      <c r="AK94" s="6" t="n"/>
      <c r="AL94" s="3" t="n">
        <v>500</v>
      </c>
    </row>
    <row r="95">
      <c r="A95" s="3" t="n">
        <v>49209</v>
      </c>
      <c r="B95" s="14" t="inlineStr">
        <is>
          <t>Rinderherzen Leckerli 35g  | Anifit Leckerlies für Ihre Haustiere</t>
        </is>
      </c>
      <c r="C95"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95" s="6" t="inlineStr">
        <is>
          <t>in_stock</t>
        </is>
      </c>
      <c r="E95" s="6" t="n"/>
      <c r="F95" s="6" t="n"/>
      <c r="G95" s="11" t="inlineStr">
        <is>
          <t>https://www.fellkost.de/content/partners/466587/shop/shop/article/49209/rinderherzen_35g_1_stueck_?category=62193</t>
        </is>
      </c>
      <c r="H95" s="6" t="n"/>
      <c r="I95" s="13" t="inlineStr">
        <is>
          <t>https://www.fellkost.de/static/content/e18829/e18831/e18851/e42803/e47509/image_shop1/ger/Mockup%20Rinderherzen_w480_h480_q90_jpg.jpg?checksum=2752caf782b8008dea8f8784fde1e3351cfb6dd3</t>
        </is>
      </c>
      <c r="J95" s="7" t="n">
        <v>4.8</v>
      </c>
      <c r="K95" s="6" t="n"/>
      <c r="L95" s="6" t="n"/>
      <c r="M95" s="6" t="inlineStr">
        <is>
          <t>no</t>
        </is>
      </c>
      <c r="N95" s="6" t="n"/>
      <c r="O95" s="6" t="n"/>
      <c r="P95" s="6" t="inlineStr">
        <is>
          <t>ANIfit</t>
        </is>
      </c>
      <c r="Q95" s="13" t="n"/>
      <c r="R95" s="6" t="n"/>
      <c r="S95" s="6" t="n"/>
      <c r="T95" s="6" t="inlineStr">
        <is>
          <t>new</t>
        </is>
      </c>
      <c r="U95" s="6" t="inlineStr">
        <is>
          <t>no</t>
        </is>
      </c>
      <c r="V95" s="6" t="n"/>
      <c r="W95" s="6" t="n"/>
      <c r="X95" s="6" t="n"/>
      <c r="Y95" s="6" t="n"/>
      <c r="Z95" s="6" t="n"/>
      <c r="AA95" s="6" t="n"/>
      <c r="AB95" s="6" t="n"/>
      <c r="AC95" s="6" t="n"/>
      <c r="AD95" s="6" t="n"/>
      <c r="AE95" s="6" t="n"/>
      <c r="AF95" s="6" t="n"/>
      <c r="AG95" s="6" t="n"/>
      <c r="AH95" s="6" t="n"/>
      <c r="AI95" s="6" t="n"/>
      <c r="AJ95" s="6" t="n"/>
      <c r="AK95" s="6" t="n"/>
      <c r="AL95" s="3" t="n">
        <v>500</v>
      </c>
    </row>
    <row r="96">
      <c r="A96" s="3" t="n">
        <v>63020</v>
      </c>
      <c r="B96" s="14" t="inlineStr">
        <is>
          <t>Hühnerbrust Leckerli 35g  | Anifit Leckerlies für Ihre Haustiere</t>
        </is>
      </c>
      <c r="C96"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96" s="6" t="inlineStr">
        <is>
          <t>in_stock</t>
        </is>
      </c>
      <c r="E96" s="6" t="n"/>
      <c r="F96" s="6" t="n"/>
      <c r="G96" s="11" t="inlineStr">
        <is>
          <t>https://www.fellkost.de/content/partners/466587/shop/shop/article/63020/huehnerbrust_35g_1_stueck_?category=62193</t>
        </is>
      </c>
      <c r="H96" s="6" t="n"/>
      <c r="I96" s="13" t="inlineStr">
        <is>
          <t>https://www.fellkost.de/static/content/e18829/e18831/e18851/e42803/e56532/image_shop1/ger/Huehnerbrust-1_w480_h480_q90_jpg.jpg?checksum=65a1d94b06d0b7b1e5582042025134d57e3417f0</t>
        </is>
      </c>
      <c r="J96" s="7" t="n">
        <v>6.5</v>
      </c>
      <c r="K96" s="6" t="n"/>
      <c r="L96" s="6" t="n"/>
      <c r="M96" s="6" t="inlineStr">
        <is>
          <t>no</t>
        </is>
      </c>
      <c r="N96" s="6" t="n"/>
      <c r="O96" s="6" t="n"/>
      <c r="P96" s="6" t="inlineStr">
        <is>
          <t>ANIfit</t>
        </is>
      </c>
      <c r="Q96" s="13" t="n"/>
      <c r="R96" s="6" t="n"/>
      <c r="S96" s="6" t="n"/>
      <c r="T96" s="6" t="inlineStr">
        <is>
          <t>new</t>
        </is>
      </c>
      <c r="U96" s="6" t="inlineStr">
        <is>
          <t>no</t>
        </is>
      </c>
      <c r="V96" s="6" t="n"/>
      <c r="W96" s="6" t="n"/>
      <c r="X96" s="6" t="n"/>
      <c r="Y96" s="6" t="n"/>
      <c r="Z96" s="6" t="n"/>
      <c r="AA96" s="6" t="n"/>
      <c r="AB96" s="6" t="n"/>
      <c r="AC96" s="6" t="n"/>
      <c r="AD96" s="6" t="n"/>
      <c r="AE96" s="6" t="n"/>
      <c r="AF96" s="6" t="n"/>
      <c r="AG96" s="6" t="n"/>
      <c r="AH96" s="6" t="n"/>
      <c r="AI96" s="6" t="n"/>
      <c r="AJ96" s="6" t="n"/>
      <c r="AK96" s="6" t="n"/>
      <c r="AL96" s="3" t="n">
        <v>500</v>
      </c>
    </row>
    <row r="97">
      <c r="A97" s="3" t="n">
        <v>99165</v>
      </c>
      <c r="B97" s="14" t="inlineStr">
        <is>
          <t>Entenbrust Leckerli 35g  | Anifit Leckerlies für Ihre Haustiere</t>
        </is>
      </c>
      <c r="C97"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Besonderheiten
Frei von Konservierungsstoffen
Frei von Zusätzen
100 % Natur
Glutenfrei
Das Fleisch wurde weder bestrahlt noch mit Chlor behandelt</t>
        </is>
      </c>
      <c r="D97" s="6" t="inlineStr">
        <is>
          <t>in_stock</t>
        </is>
      </c>
      <c r="E97" s="6" t="n"/>
      <c r="F97" s="6" t="n"/>
      <c r="G97" s="11" t="inlineStr">
        <is>
          <t>https://www.fellkost.de/content/partners/466587/shop/shop/article/99165/entenbrust_35g_1_stueck_?category=62193</t>
        </is>
      </c>
      <c r="H97" s="6" t="n"/>
      <c r="I97" s="13" t="inlineStr">
        <is>
          <t>https://www.fellkost.de/static/content/e18829/e18831/e18851/e42803/e83898/image_shop1/ger/Entenbrust_1_w480_h480_q90_jpg.jpg?checksum=2924d0b5486e5e846a8a2558e58e77b52cfd968f</t>
        </is>
      </c>
      <c r="J97" s="7" t="n">
        <v>8.15</v>
      </c>
      <c r="K97" s="6" t="n"/>
      <c r="L97" s="6" t="n"/>
      <c r="M97" s="6" t="inlineStr">
        <is>
          <t>no</t>
        </is>
      </c>
      <c r="N97" s="6" t="n"/>
      <c r="O97" s="6" t="n"/>
      <c r="P97" s="6" t="inlineStr">
        <is>
          <t>ANIfit</t>
        </is>
      </c>
      <c r="Q97" s="13" t="n"/>
      <c r="R97" s="6" t="n"/>
      <c r="S97" s="6" t="n"/>
      <c r="T97" s="6" t="inlineStr">
        <is>
          <t>new</t>
        </is>
      </c>
      <c r="U97" s="6" t="inlineStr">
        <is>
          <t>no</t>
        </is>
      </c>
      <c r="V97" s="6" t="n"/>
      <c r="W97" s="6" t="n"/>
      <c r="X97" s="6" t="n"/>
      <c r="Y97" s="6" t="n"/>
      <c r="Z97" s="6" t="n"/>
      <c r="AA97" s="6" t="n"/>
      <c r="AB97" s="6" t="n"/>
      <c r="AC97" s="6" t="n"/>
      <c r="AD97" s="6" t="n"/>
      <c r="AE97" s="6" t="n"/>
      <c r="AF97" s="6" t="n"/>
      <c r="AG97" s="6" t="n"/>
      <c r="AH97" s="6" t="n"/>
      <c r="AI97" s="6" t="n"/>
      <c r="AJ97" s="6" t="n"/>
      <c r="AK97" s="6" t="n"/>
      <c r="AL97" s="3" t="n">
        <v>500</v>
      </c>
    </row>
    <row r="98">
      <c r="A98" s="3" t="n">
        <v>70897</v>
      </c>
      <c r="B98" s="14" t="inlineStr">
        <is>
          <t>Tricolor-Snack Leckerli 35g  | Anifit Leckerlies für Ihre Haustiere</t>
        </is>
      </c>
      <c r="C98"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Nur natürliche Zutaten
Ohne Zucker
100 % Natur
Glutenfrei
Gefriergetrocknet zum maximalen Erhalt der Nährstoffe, Geschmack und Aroma</t>
        </is>
      </c>
      <c r="D98" s="6" t="inlineStr">
        <is>
          <t>in_stock</t>
        </is>
      </c>
      <c r="E98" s="6" t="n"/>
      <c r="F98" s="6" t="n"/>
      <c r="G98" s="11" t="inlineStr">
        <is>
          <t>https://www.fellkost.de/content/partners/466587/shop/shop/article/70897/tricolor-snack_35g_1_stueck_?category=62193</t>
        </is>
      </c>
      <c r="H98" s="6" t="n"/>
      <c r="I98" s="13" t="inlineStr">
        <is>
          <t>https://www.fellkost.de/static/content/e18829/e18831/e18851/e42803/e62581/image_shop1/ger/Tricolor-1_w480_h480_q90_jpg.jpg?checksum=d1784541a2b37fe3012856489c947993f7b8ccab</t>
        </is>
      </c>
      <c r="J98" s="7" t="n">
        <v>7.8</v>
      </c>
      <c r="K98" s="6" t="n"/>
      <c r="L98" s="6" t="n"/>
      <c r="M98" s="6" t="inlineStr">
        <is>
          <t>no</t>
        </is>
      </c>
      <c r="N98" s="6" t="n"/>
      <c r="O98" s="6" t="n"/>
      <c r="P98" s="6" t="inlineStr">
        <is>
          <t>ANIfit</t>
        </is>
      </c>
      <c r="Q98" s="13" t="n"/>
      <c r="R98" s="6" t="n"/>
      <c r="S98" s="6" t="n"/>
      <c r="T98" s="6" t="inlineStr">
        <is>
          <t>new</t>
        </is>
      </c>
      <c r="U98" s="6" t="inlineStr">
        <is>
          <t>no</t>
        </is>
      </c>
      <c r="V98" s="6" t="n"/>
      <c r="W98" s="6" t="n"/>
      <c r="X98" s="6" t="n"/>
      <c r="Y98" s="6" t="n"/>
      <c r="Z98" s="6" t="n"/>
      <c r="AA98" s="6" t="n"/>
      <c r="AB98" s="6" t="n"/>
      <c r="AC98" s="6" t="n"/>
      <c r="AD98" s="6" t="n"/>
      <c r="AE98" s="6" t="n"/>
      <c r="AF98" s="6" t="n"/>
      <c r="AG98" s="6" t="n"/>
      <c r="AH98" s="6" t="n"/>
      <c r="AI98" s="6" t="n"/>
      <c r="AJ98" s="6" t="n"/>
      <c r="AK98" s="6" t="n"/>
      <c r="AL98" s="3" t="n">
        <v>500</v>
      </c>
    </row>
    <row r="99">
      <c r="A99" s="3" t="n">
        <v>74960</v>
      </c>
      <c r="B99" s="14" t="inlineStr">
        <is>
          <t>Stay-Calm-Snack Leckerli zur Beruhigung 35g</t>
        </is>
      </c>
      <c r="C99"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Nur natürliche Zutaten
Ohne Zucker
100 % Natur
Glutenfrei
Gefriergetrocknet zum maximalen Erhalt der Nährstoffe, Geschmack und Aroma</t>
        </is>
      </c>
      <c r="D99" s="6" t="inlineStr">
        <is>
          <t>in_stock</t>
        </is>
      </c>
      <c r="E99" s="6" t="n"/>
      <c r="F99" s="6" t="n"/>
      <c r="G99" s="11" t="inlineStr">
        <is>
          <t>https://www.fellkost.de/content/partners/466587/shop/shop/article/74960/stay-calm-snack_35g_1_stueck_?category=62193</t>
        </is>
      </c>
      <c r="H99" s="6" t="n"/>
      <c r="I99" s="13" t="inlineStr">
        <is>
          <t>https://www.fellkost.de/static/content/e18829/e18831/e18851/e42803/e65776/image_shop1/ger/Stay%20Calm-1_w480_h480_q90_jpg.jpg?checksum=484594104f2589812eeed62cd12e38ef668eca17</t>
        </is>
      </c>
      <c r="J99" s="7" t="n">
        <v>10.2</v>
      </c>
      <c r="K99" s="6" t="n"/>
      <c r="L99" s="6" t="n"/>
      <c r="M99" s="6" t="inlineStr">
        <is>
          <t>no</t>
        </is>
      </c>
      <c r="N99" s="6" t="n"/>
      <c r="O99" s="6" t="n"/>
      <c r="P99" s="6" t="inlineStr">
        <is>
          <t>ANIfit</t>
        </is>
      </c>
      <c r="Q99" s="13" t="n"/>
      <c r="R99" s="6" t="n"/>
      <c r="S99" s="6" t="n"/>
      <c r="T99" s="6" t="inlineStr">
        <is>
          <t>new</t>
        </is>
      </c>
      <c r="U99" s="6" t="inlineStr">
        <is>
          <t>no</t>
        </is>
      </c>
      <c r="V99" s="6" t="n"/>
      <c r="W99" s="6" t="n"/>
      <c r="X99" s="6" t="n"/>
      <c r="Y99" s="6" t="n"/>
      <c r="Z99" s="6" t="n"/>
      <c r="AA99" s="6" t="n"/>
      <c r="AB99" s="6" t="n"/>
      <c r="AC99" s="6" t="n"/>
      <c r="AD99" s="6" t="n"/>
      <c r="AE99" s="6" t="n"/>
      <c r="AF99" s="6" t="n"/>
      <c r="AG99" s="6" t="n"/>
      <c r="AH99" s="6" t="n"/>
      <c r="AI99" s="6" t="n"/>
      <c r="AJ99" s="6" t="n"/>
      <c r="AK99" s="6" t="n"/>
      <c r="AL99" s="3" t="n">
        <v>500</v>
      </c>
    </row>
    <row r="100">
      <c r="A100" s="3" t="n">
        <v>46477</v>
      </c>
      <c r="B100" s="14" t="inlineStr">
        <is>
          <t>Bio-Lachs Leckerli 35g  | Anifit Leckerlies für Ihre Haustiere</t>
        </is>
      </c>
      <c r="C100"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Der Fisch wurde weder bestrahlt noch mit Chlor behandelt</t>
        </is>
      </c>
      <c r="D100" s="6" t="inlineStr">
        <is>
          <t>in_stock</t>
        </is>
      </c>
      <c r="E100" s="6" t="n"/>
      <c r="F100" s="6" t="n"/>
      <c r="G100" s="11" t="inlineStr">
        <is>
          <t>https://www.fellkost.de/content/partners/466587/shop/shop/article/46477/bio-lachs_35g_1_stueck_?category=62193</t>
        </is>
      </c>
      <c r="H100" s="6" t="n"/>
      <c r="I100" s="13" t="inlineStr">
        <is>
          <t>https://www.fellkost.de/static/content/e18829/e18831/e18851/e42803/e45380/image_shop1/ger/Mockup%20Bio-Lachs_w480_h480_q90_jpg.jpg?checksum=efc65d366c4fb2d129a13be530e66e9b7637f0db</t>
        </is>
      </c>
      <c r="J100" s="7" t="n">
        <v>11.85</v>
      </c>
      <c r="K100" s="6" t="n"/>
      <c r="L100" s="6" t="n"/>
      <c r="M100" s="6" t="inlineStr">
        <is>
          <t>no</t>
        </is>
      </c>
      <c r="N100" s="6" t="n"/>
      <c r="O100" s="6" t="n"/>
      <c r="P100" s="6" t="inlineStr">
        <is>
          <t>ANIfit</t>
        </is>
      </c>
      <c r="Q100" s="13" t="n"/>
      <c r="R100" s="6" t="n"/>
      <c r="S100" s="6" t="n"/>
      <c r="T100" s="6" t="inlineStr">
        <is>
          <t>new</t>
        </is>
      </c>
      <c r="U100" s="6" t="inlineStr">
        <is>
          <t>no</t>
        </is>
      </c>
      <c r="V100" s="6" t="n"/>
      <c r="W100" s="6" t="n"/>
      <c r="X100" s="6" t="n"/>
      <c r="Y100" s="6" t="n"/>
      <c r="Z100" s="6" t="n"/>
      <c r="AA100" s="6" t="n"/>
      <c r="AB100" s="6" t="n"/>
      <c r="AC100" s="6" t="n"/>
      <c r="AD100" s="6" t="n"/>
      <c r="AE100" s="6" t="n"/>
      <c r="AF100" s="6" t="n"/>
      <c r="AG100" s="6" t="n"/>
      <c r="AH100" s="6" t="n"/>
      <c r="AI100" s="6" t="n"/>
      <c r="AJ100" s="6" t="n"/>
      <c r="AK100" s="6" t="n"/>
      <c r="AL100" s="3" t="n">
        <v>500</v>
      </c>
    </row>
    <row r="101">
      <c r="A101" s="3" t="n">
        <v>72269</v>
      </c>
      <c r="B101" s="14" t="inlineStr">
        <is>
          <t>Rotbarsch Leckerli 35g  | Anifit Leckerlies für Ihre Haustiere</t>
        </is>
      </c>
      <c r="C101"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Besonderheiten
Frei von Konservierungsstoffen
Frei von Zusätzen
100 % Natur
Glutenfrei
Der Fisch wurde weder bestrahlt noch mit Chlor behandelt</t>
        </is>
      </c>
      <c r="D101" s="6" t="inlineStr">
        <is>
          <t>in_stock</t>
        </is>
      </c>
      <c r="E101" s="6" t="n"/>
      <c r="F101" s="6" t="n"/>
      <c r="G101" s="11" t="inlineStr">
        <is>
          <t>https://www.fellkost.de/content/partners/466587/shop/shop/article/72269/rotbarsch_35g_1_stueck_?category=62193</t>
        </is>
      </c>
      <c r="H101" s="6" t="n"/>
      <c r="I101" s="13" t="inlineStr">
        <is>
          <t>https://www.fellkost.de/static/content/e18829/e18831/e18851/e42803/e63704/image_shop1/ger/Rotbarsch_1_w480_h480_q90_jpg.jpg?checksum=afa91845047183f24574b6c4bdd70545e58702f7</t>
        </is>
      </c>
      <c r="J101" s="7" t="n">
        <v>7.7</v>
      </c>
      <c r="K101" s="6" t="n"/>
      <c r="L101" s="6" t="n"/>
      <c r="M101" s="6" t="inlineStr">
        <is>
          <t>no</t>
        </is>
      </c>
      <c r="N101" s="6" t="n"/>
      <c r="O101" s="6" t="n"/>
      <c r="P101" s="6" t="inlineStr">
        <is>
          <t>ANIfit</t>
        </is>
      </c>
      <c r="Q101" s="13" t="n"/>
      <c r="R101" s="6" t="n"/>
      <c r="S101" s="6" t="n"/>
      <c r="T101" s="6" t="inlineStr">
        <is>
          <t>new</t>
        </is>
      </c>
      <c r="U101" s="6" t="inlineStr">
        <is>
          <t>no</t>
        </is>
      </c>
      <c r="V101" s="6" t="n"/>
      <c r="W101" s="6" t="n"/>
      <c r="X101" s="6" t="n"/>
      <c r="Y101" s="6" t="n"/>
      <c r="Z101" s="6" t="n"/>
      <c r="AA101" s="6" t="n"/>
      <c r="AB101" s="6" t="n"/>
      <c r="AC101" s="6" t="n"/>
      <c r="AD101" s="6" t="n"/>
      <c r="AE101" s="6" t="n"/>
      <c r="AF101" s="6" t="n"/>
      <c r="AG101" s="6" t="n"/>
      <c r="AH101" s="6" t="n"/>
      <c r="AI101" s="6" t="n"/>
      <c r="AJ101" s="6" t="n"/>
      <c r="AK101" s="6" t="n"/>
      <c r="AL101" s="3" t="n">
        <v>500</v>
      </c>
    </row>
    <row r="102">
      <c r="A102" s="3" t="n">
        <v>46475</v>
      </c>
      <c r="B102" s="14" t="inlineStr">
        <is>
          <t>Hirsch Leckerli 35g  | Anifit Leckerlies für Ihre Haustiere</t>
        </is>
      </c>
      <c r="C102"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102" s="6" t="inlineStr">
        <is>
          <t>in_stock</t>
        </is>
      </c>
      <c r="E102" s="6" t="n"/>
      <c r="F102" s="6" t="n"/>
      <c r="G102" s="11" t="inlineStr">
        <is>
          <t>https://www.fellkost.de/content/partners/466587/shop/shop/article/46475/hirsch_35g_1_stueck_?category=62193</t>
        </is>
      </c>
      <c r="H102" s="6" t="n"/>
      <c r="I102" s="13" t="inlineStr">
        <is>
          <t>https://www.fellkost.de/static/content/e18829/e18831/e18851/e42803/e45379/image_shop1/ger/Hirsch_1_w480_h480_q90_jpg.jpg?checksum=fc71e8867cb44b547e858a6368ef215f600978fa</t>
        </is>
      </c>
      <c r="J102" s="7" t="n">
        <v>6.2</v>
      </c>
      <c r="K102" s="6" t="n"/>
      <c r="L102" s="6" t="n"/>
      <c r="M102" s="6" t="inlineStr">
        <is>
          <t>no</t>
        </is>
      </c>
      <c r="N102" s="6" t="n"/>
      <c r="O102" s="6" t="n"/>
      <c r="P102" s="6" t="inlineStr">
        <is>
          <t>ANIfit</t>
        </is>
      </c>
      <c r="Q102" s="13" t="n"/>
      <c r="R102" s="6" t="n"/>
      <c r="S102" s="6" t="n"/>
      <c r="T102" s="6" t="inlineStr">
        <is>
          <t>new</t>
        </is>
      </c>
      <c r="U102" s="6" t="inlineStr">
        <is>
          <t>no</t>
        </is>
      </c>
      <c r="V102" s="6" t="n"/>
      <c r="W102" s="6" t="n"/>
      <c r="X102" s="6" t="n"/>
      <c r="Y102" s="6" t="n"/>
      <c r="Z102" s="6" t="n"/>
      <c r="AA102" s="6" t="n"/>
      <c r="AB102" s="6" t="n"/>
      <c r="AC102" s="6" t="n"/>
      <c r="AD102" s="6" t="n"/>
      <c r="AE102" s="6" t="n"/>
      <c r="AF102" s="6" t="n"/>
      <c r="AG102" s="6" t="n"/>
      <c r="AH102" s="6" t="n"/>
      <c r="AI102" s="6" t="n"/>
      <c r="AJ102" s="6" t="n"/>
      <c r="AK102" s="6" t="n"/>
      <c r="AL102" s="3" t="n">
        <v>500</v>
      </c>
    </row>
    <row r="103">
      <c r="A103" s="3" t="n">
        <v>55108</v>
      </c>
      <c r="B103" s="14" t="inlineStr">
        <is>
          <t>Shrimps Leckerli 15g  | Anifit Leckerlies für Ihre Haustiere</t>
        </is>
      </c>
      <c r="C103"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Der Fisch wurde weder bestrahlt noch mit Chlor behandelt</t>
        </is>
      </c>
      <c r="D103" s="6" t="inlineStr">
        <is>
          <t>in_stock</t>
        </is>
      </c>
      <c r="E103" s="6" t="n"/>
      <c r="F103" s="6" t="n"/>
      <c r="G103" s="11" t="inlineStr">
        <is>
          <t>https://www.fellkost.de/content/partners/466587/shop/shop/article/55108/shrimps_15g_1_stueck_?category=62193</t>
        </is>
      </c>
      <c r="H103" s="6" t="n"/>
      <c r="I103" s="13" t="inlineStr">
        <is>
          <t>https://www.fellkost.de/static/content/e18829/e18831/e18851/e42803/e51981/image_shop1/ger/Shrimps_1_w480_h480_q90_jpg.jpg?checksum=e46bf1cc3aa078dcacb026c0361b65d8d6369de2</t>
        </is>
      </c>
      <c r="J103" s="7" t="n">
        <v>6.9</v>
      </c>
      <c r="K103" s="6" t="n"/>
      <c r="L103" s="6" t="n"/>
      <c r="M103" s="6" t="inlineStr">
        <is>
          <t>no</t>
        </is>
      </c>
      <c r="N103" s="6" t="n"/>
      <c r="O103" s="6" t="n"/>
      <c r="P103" s="6" t="inlineStr">
        <is>
          <t>ANIfit</t>
        </is>
      </c>
      <c r="Q103" s="13" t="n"/>
      <c r="R103" s="6" t="n"/>
      <c r="S103" s="6" t="n"/>
      <c r="T103" s="6" t="inlineStr">
        <is>
          <t>new</t>
        </is>
      </c>
      <c r="U103" s="6" t="inlineStr">
        <is>
          <t>no</t>
        </is>
      </c>
      <c r="V103" s="6" t="n"/>
      <c r="W103" s="6" t="n"/>
      <c r="X103" s="6" t="n"/>
      <c r="Y103" s="6" t="n"/>
      <c r="Z103" s="6" t="n"/>
      <c r="AA103" s="6" t="n"/>
      <c r="AB103" s="6" t="n"/>
      <c r="AC103" s="6" t="n"/>
      <c r="AD103" s="6" t="n"/>
      <c r="AE103" s="6" t="n"/>
      <c r="AF103" s="6" t="n"/>
      <c r="AG103" s="6" t="n"/>
      <c r="AH103" s="6" t="n"/>
      <c r="AI103" s="6" t="n"/>
      <c r="AJ103" s="6" t="n"/>
      <c r="AK103" s="6" t="n"/>
      <c r="AL103" s="3" t="n">
        <v>500</v>
      </c>
    </row>
    <row r="104">
      <c r="A104" s="3" t="n">
        <v>91963</v>
      </c>
      <c r="B104" s="14" t="inlineStr">
        <is>
          <t>Rotbarschfilet (Pulver) 40g</t>
        </is>
      </c>
      <c r="C104" s="13" t="inlineStr">
        <is>
          <t>Die Anwendung ist sehr einfach, Sie streuen eine kleine Menge des Fischpulvers über die Nahrung und geben dieser damit eine noch intensivere Note.
Ohne Zusätze
100 % Natur</t>
        </is>
      </c>
      <c r="D104" s="6" t="inlineStr">
        <is>
          <t>in_stock</t>
        </is>
      </c>
      <c r="E104" s="6" t="n"/>
      <c r="F104" s="6" t="n"/>
      <c r="G104" s="11" t="inlineStr">
        <is>
          <t>https://www.fellkost.de/content/partners/466587/shop/shop/article/91963/rotbarschfilet_pulver_40g_1_stueck_?category=62193</t>
        </is>
      </c>
      <c r="H104" s="6" t="n"/>
      <c r="I104" s="13" t="inlineStr">
        <is>
          <t>https://www.fellkost.de/static/content/e18829/e18831/e18851/e42803/e78056/image_shop1/ger/Rotbarsch-Pulver-1_w480_h480_q90_jpg.jpg?checksum=96cec8c6177db1c47238e0fe1e213899d49df4d5</t>
        </is>
      </c>
      <c r="J104" s="7" t="n">
        <v>8.6</v>
      </c>
      <c r="K104" s="6" t="n"/>
      <c r="L104" s="6" t="n"/>
      <c r="M104" s="6" t="inlineStr">
        <is>
          <t>no</t>
        </is>
      </c>
      <c r="N104" s="6" t="n"/>
      <c r="O104" s="6" t="n"/>
      <c r="P104" s="6" t="inlineStr">
        <is>
          <t>ANIfit</t>
        </is>
      </c>
      <c r="Q104" s="13" t="n"/>
      <c r="R104" s="6" t="n"/>
      <c r="S104" s="6" t="n"/>
      <c r="T104" s="6" t="inlineStr">
        <is>
          <t>new</t>
        </is>
      </c>
      <c r="U104" s="6" t="inlineStr">
        <is>
          <t>no</t>
        </is>
      </c>
      <c r="V104" s="6" t="n"/>
      <c r="W104" s="6" t="n"/>
      <c r="X104" s="6" t="n"/>
      <c r="Y104" s="6" t="n"/>
      <c r="Z104" s="6" t="n"/>
      <c r="AA104" s="6" t="n"/>
      <c r="AB104" s="6" t="n"/>
      <c r="AC104" s="6" t="n"/>
      <c r="AD104" s="6" t="n"/>
      <c r="AE104" s="6" t="n"/>
      <c r="AF104" s="6" t="n"/>
      <c r="AG104" s="6" t="n"/>
      <c r="AH104" s="6" t="n"/>
      <c r="AI104" s="6" t="n"/>
      <c r="AJ104" s="6" t="n"/>
      <c r="AK104" s="6" t="n"/>
      <c r="AL104" s="3" t="n">
        <v>500</v>
      </c>
    </row>
    <row r="105">
      <c r="A105" s="3" t="n">
        <v>275114</v>
      </c>
      <c r="B105" s="14" t="inlineStr">
        <is>
          <t>Hühnerherzen-Granulat 50g</t>
        </is>
      </c>
      <c r="C105" s="13" t="inlineStr">
        <is>
          <t>Die Anwendung ist sehr einfach. Sie streuen eine kleine Menge der Fleischstücke über die Nahrung und geben dieser damit eine noch intensivere Note.
Ohne Zusätze
100 % Natur</t>
        </is>
      </c>
      <c r="D105" s="6" t="inlineStr">
        <is>
          <t>in_stock</t>
        </is>
      </c>
      <c r="E105" s="6" t="n"/>
      <c r="F105" s="6" t="n"/>
      <c r="G105" s="11" t="inlineStr">
        <is>
          <t>https://www.fellkost.de/content/partners/466587/shop/shop/article/275114/huehnerherzen-granulat_50g_1_stueck_?category=62193</t>
        </is>
      </c>
      <c r="H105" s="6" t="n"/>
      <c r="I105" s="13" t="inlineStr">
        <is>
          <t>https://www.fellkost.de/static/content/e18829/e18831/e18851/e42803/e110226/image_shop1/ger/Huehnerherzen-Granulat-1_w480_h480_q90_png.png?checksum=d9e0739873e379302badad78d52a223d3f0672b7</t>
        </is>
      </c>
      <c r="J105" s="7" t="n">
        <v>9.15</v>
      </c>
      <c r="K105" s="6" t="n"/>
      <c r="L105" s="6" t="n"/>
      <c r="M105" s="6" t="inlineStr">
        <is>
          <t>no</t>
        </is>
      </c>
      <c r="N105" s="6" t="n"/>
      <c r="O105" s="6" t="n"/>
      <c r="P105" s="6" t="inlineStr">
        <is>
          <t>ANIfit</t>
        </is>
      </c>
      <c r="Q105" s="13" t="n"/>
      <c r="R105" s="6" t="n"/>
      <c r="S105" s="6" t="n"/>
      <c r="T105" s="6" t="inlineStr">
        <is>
          <t>new</t>
        </is>
      </c>
      <c r="U105" s="6" t="inlineStr">
        <is>
          <t>no</t>
        </is>
      </c>
      <c r="V105" s="6" t="n"/>
      <c r="W105" s="6" t="n"/>
      <c r="X105" s="6" t="n"/>
      <c r="Y105" s="6" t="n"/>
      <c r="Z105" s="6" t="n"/>
      <c r="AA105" s="6" t="n"/>
      <c r="AB105" s="6" t="n"/>
      <c r="AC105" s="6" t="n"/>
      <c r="AD105" s="6" t="n"/>
      <c r="AE105" s="6" t="n"/>
      <c r="AF105" s="6" t="n"/>
      <c r="AG105" s="6" t="n"/>
      <c r="AH105" s="6" t="n"/>
      <c r="AI105" s="6" t="n"/>
      <c r="AJ105" s="6" t="n"/>
      <c r="AK105" s="6" t="n"/>
      <c r="AL105" s="3" t="n">
        <v>500</v>
      </c>
    </row>
    <row r="106">
      <c r="A106" s="3" t="n">
        <v>70877</v>
      </c>
      <c r="B106" s="14" t="inlineStr">
        <is>
          <t>Rote-Beete-Snack 35g</t>
        </is>
      </c>
      <c r="C106"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Nur natürliche Zutaten
Ohne Zucker
100 % Natur
Glutenfrei
Gefriergetrocknet zum maximalen Erhalt der Nährstoffe, Geschmack und Aroma</t>
        </is>
      </c>
      <c r="D106" s="6" t="inlineStr">
        <is>
          <t>in_stock</t>
        </is>
      </c>
      <c r="E106" s="6" t="n"/>
      <c r="F106" s="6" t="n"/>
      <c r="G106" s="11" t="inlineStr">
        <is>
          <t>https://www.fellkost.de/content/partners/466587/shop/shop/article/70877/rote-beete-snack_35g_1_stueck_?category=62193</t>
        </is>
      </c>
      <c r="H106" s="6" t="n"/>
      <c r="I106" s="15" t="inlineStr">
        <is>
          <t>https://www.fellkost.de/static/content/e18829/e18831/e18851/e42803/e62564/image_shop1/ger/Rote-Beete-Snack-1_w480_h480_q90_png.png?checksum=b005729bb797e5fad3a2c88b4c4202c094fb6060</t>
        </is>
      </c>
      <c r="J106" s="7" t="n">
        <v>7.8</v>
      </c>
      <c r="K106" s="6" t="n"/>
      <c r="L106" s="6" t="n"/>
      <c r="M106" s="6" t="inlineStr">
        <is>
          <t>no</t>
        </is>
      </c>
      <c r="N106" s="6" t="n"/>
      <c r="O106" s="6" t="n"/>
      <c r="P106" s="6" t="inlineStr">
        <is>
          <t>ANIfit</t>
        </is>
      </c>
      <c r="Q106" s="13" t="n"/>
      <c r="R106" s="6" t="n"/>
      <c r="S106" s="6" t="n"/>
      <c r="T106" s="6" t="inlineStr">
        <is>
          <t>new</t>
        </is>
      </c>
      <c r="U106" s="6" t="inlineStr">
        <is>
          <t>no</t>
        </is>
      </c>
      <c r="V106" s="6" t="n"/>
      <c r="W106" s="6" t="n"/>
      <c r="X106" s="6" t="n"/>
      <c r="Y106" s="6" t="n"/>
      <c r="Z106" s="6" t="n"/>
      <c r="AA106" s="6" t="n"/>
      <c r="AB106" s="6" t="n"/>
      <c r="AC106" s="6" t="n"/>
      <c r="AD106" s="6" t="n"/>
      <c r="AE106" s="6" t="n"/>
      <c r="AF106" s="6" t="n"/>
      <c r="AG106" s="6" t="n"/>
      <c r="AH106" s="6" t="n"/>
      <c r="AI106" s="6" t="n"/>
      <c r="AJ106" s="6" t="n"/>
      <c r="AK106" s="6" t="n"/>
      <c r="AL106" s="3" t="n">
        <v>500</v>
      </c>
    </row>
    <row r="107">
      <c r="A107" s="3" t="n">
        <v>70893</v>
      </c>
      <c r="B107" s="14" t="inlineStr">
        <is>
          <t>Kurkuma-Snack 35g</t>
        </is>
      </c>
      <c r="C107"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Nur natürliche Zutaten
Ohne Zucker
100 % Natur
Glutenfrei
Gefriergetrocknet zum maximalen Erhalt der Nährstoffe, Geschmack und Aroma</t>
        </is>
      </c>
      <c r="D107" s="6" t="inlineStr">
        <is>
          <t>in_stock</t>
        </is>
      </c>
      <c r="E107" s="6" t="n"/>
      <c r="F107" s="6" t="n"/>
      <c r="G107" s="11" t="inlineStr">
        <is>
          <t>https://www.fellkost.de/content/partners/466587/shop/shop/article/70893/kurkuma-snack_35g_1_stueck_?category=62193</t>
        </is>
      </c>
      <c r="H107" s="6" t="n"/>
      <c r="I107" s="13" t="inlineStr">
        <is>
          <t>https://www.fellkost.de/static/content/e18829/e18831/e18851/e42803/e62579/image_shop1/ger/Kurkuma-Snack-1_w480_h480_q90_jpg.jpg?checksum=5ef49f64840d54ad08048158a604541e97dfcf0c</t>
        </is>
      </c>
      <c r="J107" s="7" t="n">
        <v>7.8</v>
      </c>
      <c r="K107" s="6" t="n"/>
      <c r="L107" s="6" t="n"/>
      <c r="M107" s="6" t="inlineStr">
        <is>
          <t>no</t>
        </is>
      </c>
      <c r="N107" s="6" t="n"/>
      <c r="O107" s="6" t="n"/>
      <c r="P107" s="6" t="inlineStr">
        <is>
          <t>ANIfit</t>
        </is>
      </c>
      <c r="Q107" s="13" t="n"/>
      <c r="R107" s="6" t="n"/>
      <c r="S107" s="6" t="n"/>
      <c r="T107" s="6" t="inlineStr">
        <is>
          <t>new</t>
        </is>
      </c>
      <c r="U107" s="6" t="inlineStr">
        <is>
          <t>no</t>
        </is>
      </c>
      <c r="V107" s="6" t="n"/>
      <c r="W107" s="6" t="n"/>
      <c r="X107" s="6" t="n"/>
      <c r="Y107" s="6" t="n"/>
      <c r="Z107" s="6" t="n"/>
      <c r="AA107" s="6" t="n"/>
      <c r="AB107" s="6" t="n"/>
      <c r="AC107" s="6" t="n"/>
      <c r="AD107" s="6" t="n"/>
      <c r="AE107" s="6" t="n"/>
      <c r="AF107" s="6" t="n"/>
      <c r="AG107" s="6" t="n"/>
      <c r="AH107" s="6" t="n"/>
      <c r="AI107" s="6" t="n"/>
      <c r="AJ107" s="6" t="n"/>
      <c r="AK107" s="6" t="n"/>
      <c r="AL107" s="3" t="n">
        <v>500</v>
      </c>
    </row>
    <row r="108">
      <c r="A108" s="3" t="n">
        <v>70895</v>
      </c>
      <c r="B108" s="13" t="inlineStr">
        <is>
          <t>Chlorella-Snack</t>
        </is>
      </c>
      <c r="C108"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Nur natürliche Zutaten
Ohne Zucker
100 % Natur
Glutenfrei
Gefriergetrocknet zum maximalen Erhalt der Nährstoffe, Geschmack und Aroma</t>
        </is>
      </c>
      <c r="D108" s="6" t="inlineStr">
        <is>
          <t>in_stock</t>
        </is>
      </c>
      <c r="E108" s="6" t="n"/>
      <c r="F108" s="6" t="n"/>
      <c r="G108" s="11" t="inlineStr">
        <is>
          <t>https://www.fellkost.de/content/partners/466587/shop/shop/article/70895/chlorella-snack_35g_1_stueck_?category=62193</t>
        </is>
      </c>
      <c r="H108" s="6" t="n"/>
      <c r="I108" s="13" t="inlineStr">
        <is>
          <t>https://www.fellkost.de/static/content/e18829/e18831/e18851/e42803/e62580/image_shop1/ger/Chlorella-1_w480_h480_q90_jpg.jpg?checksum=508cd5119f461cc4f2d8b5d97fd0da7e0a1df2fd</t>
        </is>
      </c>
      <c r="J108" s="7" t="n">
        <v>7.8</v>
      </c>
      <c r="K108" s="6" t="n"/>
      <c r="L108" s="6" t="n"/>
      <c r="M108" s="6" t="inlineStr">
        <is>
          <t>no</t>
        </is>
      </c>
      <c r="N108" s="6" t="n"/>
      <c r="O108" s="6" t="n"/>
      <c r="P108" s="6" t="inlineStr">
        <is>
          <t>ANIfit</t>
        </is>
      </c>
      <c r="Q108" s="13" t="n"/>
      <c r="R108" s="6" t="n"/>
      <c r="S108" s="6" t="n"/>
      <c r="T108" s="6" t="inlineStr">
        <is>
          <t>new</t>
        </is>
      </c>
      <c r="U108" s="6" t="inlineStr">
        <is>
          <t>no</t>
        </is>
      </c>
      <c r="V108" s="6" t="n"/>
      <c r="W108" s="6" t="n"/>
      <c r="X108" s="6" t="n"/>
      <c r="Y108" s="6" t="n"/>
      <c r="Z108" s="6" t="n"/>
      <c r="AA108" s="6" t="n"/>
      <c r="AB108" s="6" t="n"/>
      <c r="AC108" s="6" t="n"/>
      <c r="AD108" s="6" t="n"/>
      <c r="AE108" s="6" t="n"/>
      <c r="AF108" s="6" t="n"/>
      <c r="AG108" s="6" t="n"/>
      <c r="AH108" s="6" t="n"/>
      <c r="AI108" s="6" t="n"/>
      <c r="AJ108" s="6" t="n"/>
      <c r="AK108" s="6" t="n"/>
      <c r="AL108" s="3" t="n">
        <v>500</v>
      </c>
    </row>
    <row r="109">
      <c r="A109" s="3" t="n">
        <v>49211</v>
      </c>
      <c r="B109" s="14" t="inlineStr">
        <is>
          <t>Lammpansen Leckerli 20g</t>
        </is>
      </c>
      <c r="C109" s="13" t="inlineStr">
        <is>
          <t>Durch unsere spezielle Gefriertrocknungstechnik bleiben der Geschmack, das Aroma und die Nährstoffe maximal erhalten. Unsere besonders schonende Verarbeitung ermöglicht eine lange Haltbarkeit, die Leckerlis sind ideal für Reisen, Training und die tägliche Belohnung.
Unsere proteinreichen Leckerlis sorgen im Körper für eine Zunahme bzw. den Erhalt an Muskelmasse und tragen zur Erhaltung normaler Knochen bei.
Bayrische Qualität
Wir sind stolz darauf, unsere Zutaten − wenn möglich − regional zu beziehen und in Bayern mit maximaler Qualität für Ihr Tier zu verarbeiten.
Besonderheiten
Frei von Konservierungsstoffen
Frei von Zusätzen
100 % Natur
Glutenfrei
Das Fleisch wurde weder bestrahlt noch mit Chlor behandelt</t>
        </is>
      </c>
      <c r="D109" s="6" t="inlineStr">
        <is>
          <t>in_stock</t>
        </is>
      </c>
      <c r="E109" s="6" t="n"/>
      <c r="F109" s="6" t="n"/>
      <c r="G109" s="11" t="inlineStr">
        <is>
          <t>https://www.fellkost.de/content/partners/466587/shop/shop/article/49211/lammpansen_20g_1_stueck_?category=62193</t>
        </is>
      </c>
      <c r="H109" s="6" t="n"/>
      <c r="I109" s="13" t="inlineStr">
        <is>
          <t>https://www.fellkost.de/static/content/e18829/e18831/e18851/e42803/e47510/image_shop1/ger/Lammpansen-1_w480_h480_q90_jpg.jpg?checksum=fe26dde5ac28074003c80082a9bb80c00e3c49b5</t>
        </is>
      </c>
      <c r="J109" s="7" t="n">
        <v>4.6</v>
      </c>
      <c r="K109" s="6" t="n"/>
      <c r="L109" s="6" t="n"/>
      <c r="M109" s="6" t="inlineStr">
        <is>
          <t>no</t>
        </is>
      </c>
      <c r="N109" s="6" t="n"/>
      <c r="O109" s="6" t="n"/>
      <c r="P109" s="6" t="inlineStr">
        <is>
          <t>ANIfit</t>
        </is>
      </c>
      <c r="Q109" s="13" t="n"/>
      <c r="R109" s="6" t="n"/>
      <c r="S109" s="6" t="n"/>
      <c r="T109" s="6" t="inlineStr">
        <is>
          <t>new</t>
        </is>
      </c>
      <c r="U109" s="6" t="inlineStr">
        <is>
          <t>no</t>
        </is>
      </c>
      <c r="V109" s="6" t="n"/>
      <c r="W109" s="6" t="n"/>
      <c r="X109" s="6" t="n"/>
      <c r="Y109" s="6" t="n"/>
      <c r="Z109" s="6" t="n"/>
      <c r="AA109" s="6" t="n"/>
      <c r="AB109" s="6" t="n"/>
      <c r="AC109" s="6" t="n"/>
      <c r="AD109" s="6" t="n"/>
      <c r="AE109" s="6" t="n"/>
      <c r="AF109" s="6" t="n"/>
      <c r="AG109" s="6" t="n"/>
      <c r="AH109" s="6" t="n"/>
      <c r="AI109" s="6" t="n"/>
      <c r="AJ109" s="6" t="n"/>
      <c r="AK109" s="6" t="n"/>
      <c r="AL109" s="3" t="n">
        <v>500</v>
      </c>
    </row>
    <row r="110">
      <c r="A110" s="3" t="n">
        <v>402971</v>
      </c>
      <c r="B110" s="14" t="inlineStr">
        <is>
          <t>Picco Train Geflügel Leckerli</t>
        </is>
      </c>
      <c r="C110" s="13" t="inlineStr">
        <is>
          <t>Diese Zutaten sorgen dafür, dass Picco Train Geflügel sowohl Hunden als auch Katzen schmeckt und bei beiden sehr beliebt ist.
Ohne Konservierungsstoffe, Geschmacksverstärker und Farbstoffe.
Picco Train Geflügel ist klein, kann gut verfüttert und vom Hund gefressen werden, ohne dass dieser sein Training unterbrechen muss.</t>
        </is>
      </c>
      <c r="D110" s="6" t="inlineStr">
        <is>
          <t>in_stock</t>
        </is>
      </c>
      <c r="E110" s="6" t="n"/>
      <c r="F110" s="6" t="n"/>
      <c r="G110" s="11" t="inlineStr">
        <is>
          <t>https://www.fellkost.de/content/partners/466587/shop/shop/article/402971/picco_train_gefluegel_500g_1_stueck_?category=62193</t>
        </is>
      </c>
      <c r="H110" s="6" t="n"/>
      <c r="I110" s="13" t="inlineStr">
        <is>
          <t>https://www.fellkost.de/static/content/e18829/e18831/e18851/e18890/e216935/image_shop1/ger/IMG_9989-Bearb2_w480_h480_q90_jpg.jpg?checksum=1ecdff9882db9e50ae7db50125f5eaca62d24446</t>
        </is>
      </c>
      <c r="J110" s="7" t="n">
        <v>14.69</v>
      </c>
      <c r="K110" s="6" t="n"/>
      <c r="L110" s="6" t="n"/>
      <c r="M110" s="6" t="inlineStr">
        <is>
          <t>no</t>
        </is>
      </c>
      <c r="N110" s="6" t="n"/>
      <c r="O110" s="6" t="n"/>
      <c r="P110" s="6" t="inlineStr">
        <is>
          <t>ANIfit</t>
        </is>
      </c>
      <c r="Q110" s="13" t="n"/>
      <c r="R110" s="6" t="n"/>
      <c r="S110" s="6" t="n"/>
      <c r="T110" s="6" t="inlineStr">
        <is>
          <t>new</t>
        </is>
      </c>
      <c r="U110" s="6" t="inlineStr">
        <is>
          <t>no</t>
        </is>
      </c>
      <c r="V110" s="6" t="n"/>
      <c r="W110" s="6" t="n"/>
      <c r="X110" s="6" t="n"/>
      <c r="Y110" s="6" t="n"/>
      <c r="Z110" s="6" t="n"/>
      <c r="AA110" s="6" t="n"/>
      <c r="AB110" s="6" t="n"/>
      <c r="AC110" s="6" t="n"/>
      <c r="AD110" s="6" t="n"/>
      <c r="AE110" s="6" t="n"/>
      <c r="AF110" s="6" t="n"/>
      <c r="AG110" s="6" t="n"/>
      <c r="AH110" s="6" t="n"/>
      <c r="AI110" s="6" t="n"/>
      <c r="AJ110" s="6" t="n"/>
      <c r="AK110" s="6" t="n"/>
      <c r="AL110" s="3" t="n">
        <v>500</v>
      </c>
    </row>
    <row r="111">
      <c r="A111" s="3" t="n">
        <v>46462</v>
      </c>
      <c r="B111" s="14" t="inlineStr">
        <is>
          <t>Picco Train Fisch Leckerli</t>
        </is>
      </c>
      <c r="C111" s="13" t="inlineStr">
        <is>
          <t>Die beiden Zutaten sorgen dafür, dass Picco Train Fisch sowohl Hunden als auch Katzen schmeckt und bei beiden sehr beliebt ist.
Ohne Konservierungsstoffe, Geschmacksverstärker und Farbstoffe.
Picco Train Fisch ist klein, kann gut verfüttert und vom Hund gefressen werden, ohne dass dieser sein Training unterbrechen muss.</t>
        </is>
      </c>
      <c r="D111" s="6" t="inlineStr">
        <is>
          <t>in_stock</t>
        </is>
      </c>
      <c r="E111" s="6" t="n"/>
      <c r="F111" s="6" t="n"/>
      <c r="G111" s="11" t="inlineStr">
        <is>
          <t>https://www.fellkost.de/content/partners/466587/shop/shop/article/46462/picco_train_fisch_500g_1_stueck_?category=62193</t>
        </is>
      </c>
      <c r="H111" s="6" t="n"/>
      <c r="I111" s="13" t="inlineStr">
        <is>
          <t>https://www.fellkost.de/static/content/e18829/e18831/e18851/e18890/e45370/image_shop1/ger/Picco%20Train%20Fisch%20500%20g%20%201920%20x%201920_w480_h480_q90_jpg.jpg?checksum=cd3af592756d664b173bd1ed83edf5f26305d837</t>
        </is>
      </c>
      <c r="J111" s="7" t="n">
        <v>14.69</v>
      </c>
      <c r="K111" s="6" t="n"/>
      <c r="L111" s="6" t="n"/>
      <c r="M111" s="6" t="inlineStr">
        <is>
          <t>no</t>
        </is>
      </c>
      <c r="N111" s="6" t="n"/>
      <c r="O111" s="6" t="n"/>
      <c r="P111" s="6" t="inlineStr">
        <is>
          <t>ANIfit</t>
        </is>
      </c>
      <c r="Q111" s="13" t="n"/>
      <c r="R111" s="6" t="n"/>
      <c r="S111" s="6" t="n"/>
      <c r="T111" s="6" t="inlineStr">
        <is>
          <t>new</t>
        </is>
      </c>
      <c r="U111" s="6" t="inlineStr">
        <is>
          <t>no</t>
        </is>
      </c>
      <c r="V111" s="6" t="n"/>
      <c r="W111" s="6" t="n"/>
      <c r="X111" s="6" t="n"/>
      <c r="Y111" s="6" t="n"/>
      <c r="Z111" s="6" t="n"/>
      <c r="AA111" s="6" t="n"/>
      <c r="AB111" s="6" t="n"/>
      <c r="AC111" s="6" t="n"/>
      <c r="AD111" s="6" t="n"/>
      <c r="AE111" s="6" t="n"/>
      <c r="AF111" s="6" t="n"/>
      <c r="AG111" s="6" t="n"/>
      <c r="AH111" s="6" t="n"/>
      <c r="AI111" s="6" t="n"/>
      <c r="AJ111" s="6" t="n"/>
      <c r="AK111" s="6" t="n"/>
      <c r="AL111" s="3" t="n">
        <v>500</v>
      </c>
    </row>
    <row r="112">
      <c r="A112" s="3" t="n">
        <v>11273</v>
      </c>
      <c r="B112" s="14" t="inlineStr">
        <is>
          <t>Premium Truthahn Leckerli Sticks 350g</t>
        </is>
      </c>
      <c r="C112" s="13" t="inlineStr">
        <is>
          <t>Die Premium Sticks haben einen Feuchtigkeitsgehalt von rd. 16 % und sind dadurch weich und angenehm zu verfüttern. 
Die Premium Truthahn Sticks werden aus besten Rohstoffen frisch zubereitet und nach der Herstellung sofort vakuumverpackt.
Der Truthahn Anteil sorgt für eine hohe Akzeptanz bei den Hunden und gibt den Premium Sticks ihren besonderen Geschmack.
keine Farbstoffe
kein Geschmacksverstärker
vakuumverpackt
Wichtig wie bei allen Leckerlis ist, dass keine Farbstoffe und keine Geschmacksverstärker verwendet werden. Die Farbe der Sticks unterliegt daher geringfügigen Schwankungen.
Haltbarkeit
Nach dem Öffnen der Packung trocknen die Sticks über 1-2 Wochen aus. Die Sticks werden härter, dies hat aber keinen Einfluss auf die Qualität des Produktes. Die Sticks können auch im harten Zustand verfüttert werden.</t>
        </is>
      </c>
      <c r="D112" s="6" t="inlineStr">
        <is>
          <t>in_stock</t>
        </is>
      </c>
      <c r="E112" s="6" t="n"/>
      <c r="F112" s="6" t="n"/>
      <c r="G112" s="11" t="inlineStr">
        <is>
          <t>https://www.fellkost.de/content/partners/466587/shop/shop/article/11273/premium_truthahn_sticks_350g_1_stueck_?category=62193</t>
        </is>
      </c>
      <c r="H112" s="6" t="n"/>
      <c r="I112" s="13" t="inlineStr">
        <is>
          <t>https://www.fellkost.de/static/content/e18829/e18831/e18851/e18890/e18893/image_shop1/ger/Truthhahnsticks-1_w480_h480_q90_png.png?checksum=70bacfde87ec7985675bfe4c8aef8e8a174b58da</t>
        </is>
      </c>
      <c r="J112" s="7" t="n">
        <v>8.390000000000001</v>
      </c>
      <c r="K112" s="6" t="n"/>
      <c r="L112" s="6" t="n"/>
      <c r="M112" s="6" t="inlineStr">
        <is>
          <t>no</t>
        </is>
      </c>
      <c r="N112" s="6" t="n"/>
      <c r="O112" s="6" t="n"/>
      <c r="P112" s="6" t="inlineStr">
        <is>
          <t>ANIfit</t>
        </is>
      </c>
      <c r="Q112" s="13" t="n"/>
      <c r="R112" s="6" t="n"/>
      <c r="S112" s="6" t="n"/>
      <c r="T112" s="6" t="inlineStr">
        <is>
          <t>new</t>
        </is>
      </c>
      <c r="U112" s="6" t="inlineStr">
        <is>
          <t>no</t>
        </is>
      </c>
      <c r="V112" s="6" t="n"/>
      <c r="W112" s="6" t="n"/>
      <c r="X112" s="6" t="n"/>
      <c r="Y112" s="6" t="n"/>
      <c r="Z112" s="6" t="n"/>
      <c r="AA112" s="6" t="n"/>
      <c r="AB112" s="6" t="n"/>
      <c r="AC112" s="6" t="n"/>
      <c r="AD112" s="6" t="n"/>
      <c r="AE112" s="6" t="n"/>
      <c r="AF112" s="6" t="n"/>
      <c r="AG112" s="6" t="n"/>
      <c r="AH112" s="6" t="n"/>
      <c r="AI112" s="6" t="n"/>
      <c r="AJ112" s="6" t="n"/>
      <c r="AK112" s="6" t="n"/>
      <c r="AL112" s="3" t="n">
        <v>500</v>
      </c>
    </row>
    <row r="113">
      <c r="A113" s="3" t="n">
        <v>81714</v>
      </c>
      <c r="B113" s="14" t="inlineStr">
        <is>
          <t>Hirsch-Snack Leckerli 170g</t>
        </is>
      </c>
      <c r="C113" s="13" t="inlineStr">
        <is>
          <t>Getreidefrei
Frei von Konservierungsmittel
Frei von Geschmacksverstärkern
Keine aufgesprühten Fette
Ohne Zucker und Zuckerersatzstoffe
Ohne Künstliche Farb- und Lockstoffe
Zubereitung
Immer eine ausreichende Menge an frischem Trinkwasser bereitstellen. Das Futter ist trocken, in der atmungsaktiven Verkaufsverpackung zu lagern.</t>
        </is>
      </c>
      <c r="D113" s="6" t="inlineStr">
        <is>
          <t>in_stock</t>
        </is>
      </c>
      <c r="E113" s="6" t="n"/>
      <c r="F113" s="6" t="n"/>
      <c r="G113" s="11" t="inlineStr">
        <is>
          <t>https://www.fellkost.de/content/partners/466587/shop/shop/article/81714/hirsch-snack_170g_1_packung_?category=62193</t>
        </is>
      </c>
      <c r="H113" s="6" t="n"/>
      <c r="I113" s="13" t="inlineStr">
        <is>
          <t>https://www.fellkost.de/static/content/e18829/e18831/e18851/e18890/e71007/image_shop1/ger/Hirsch-Snack%20170g-1_w480_h480_q90_jpg.jpg?checksum=9521c37e8e760647ca565d31412f14514f4c16d1</t>
        </is>
      </c>
      <c r="J113" s="7" t="n">
        <v>5.16</v>
      </c>
      <c r="K113" s="6" t="n"/>
      <c r="L113" s="6" t="n"/>
      <c r="M113" s="6" t="inlineStr">
        <is>
          <t>no</t>
        </is>
      </c>
      <c r="N113" s="6" t="n"/>
      <c r="O113" s="6" t="n"/>
      <c r="P113" s="6" t="inlineStr">
        <is>
          <t>ANIfit</t>
        </is>
      </c>
      <c r="Q113" s="13" t="n"/>
      <c r="R113" s="6" t="n"/>
      <c r="S113" s="6" t="n"/>
      <c r="T113" s="6" t="inlineStr">
        <is>
          <t>new</t>
        </is>
      </c>
      <c r="U113" s="6" t="inlineStr">
        <is>
          <t>no</t>
        </is>
      </c>
      <c r="V113" s="6" t="n"/>
      <c r="W113" s="6" t="n"/>
      <c r="X113" s="6" t="n"/>
      <c r="Y113" s="6" t="n"/>
      <c r="Z113" s="6" t="n"/>
      <c r="AA113" s="6" t="n"/>
      <c r="AB113" s="6" t="n"/>
      <c r="AC113" s="6" t="n"/>
      <c r="AD113" s="6" t="n"/>
      <c r="AE113" s="6" t="n"/>
      <c r="AF113" s="6" t="n"/>
      <c r="AG113" s="6" t="n"/>
      <c r="AH113" s="6" t="n"/>
      <c r="AI113" s="6" t="n"/>
      <c r="AJ113" s="6" t="n"/>
      <c r="AK113" s="6" t="n"/>
      <c r="AL113" s="3" t="n">
        <v>500</v>
      </c>
    </row>
    <row r="114">
      <c r="A114" s="3" t="n">
        <v>167347</v>
      </c>
      <c r="B114" s="14" t="inlineStr">
        <is>
          <t>Wels-Snack Leckerli 170g</t>
        </is>
      </c>
      <c r="C114" s="13" t="inlineStr">
        <is>
          <t>Getreidefrei
Frei von Konservierungsmittel
Frei von Geschmacksverstärkern
Keine aufgesprühten Fette
Ohne Zucker und Zuckerersatzstoffe
Ohne Künstliche Farb- und Lockstoffe
Zubereitung
Immer eine ausreichende Menge an frischem Trinkwasser bereitstellen. Das Futter ist trocken, in der atmungsaktiven Verkaufsverpackung zu lagern.</t>
        </is>
      </c>
      <c r="D114" s="6" t="inlineStr">
        <is>
          <t>in_stock</t>
        </is>
      </c>
      <c r="E114" s="6" t="n"/>
      <c r="F114" s="6" t="n"/>
      <c r="G114" s="11" t="inlineStr">
        <is>
          <t>https://www.fellkost.de/content/partners/466587/shop/shop/article/167347/wels-snack_170g_1_packung_?category=62193</t>
        </is>
      </c>
      <c r="H114" s="6" t="n"/>
      <c r="I114" s="13" t="inlineStr">
        <is>
          <t>https://www.fellkost.de/static/content/e18829/e18831/e18851/e18890/e105848/image_shop1/ger/Wels-Snack%20170g_1_w480_h480_q90_jpg.jpg?checksum=a95e377595ca4a70ae87157fca1538a96b962aed</t>
        </is>
      </c>
      <c r="J114" s="7" t="n">
        <v>5.16</v>
      </c>
      <c r="K114" s="6" t="n"/>
      <c r="L114" s="6" t="n"/>
      <c r="M114" s="6" t="inlineStr">
        <is>
          <t>no</t>
        </is>
      </c>
      <c r="N114" s="6" t="n"/>
      <c r="O114" s="6" t="n"/>
      <c r="P114" s="6" t="inlineStr">
        <is>
          <t>ANIfit</t>
        </is>
      </c>
      <c r="Q114" s="13" t="n"/>
      <c r="R114" s="6" t="n"/>
      <c r="S114" s="6" t="n"/>
      <c r="T114" s="6" t="inlineStr">
        <is>
          <t>new</t>
        </is>
      </c>
      <c r="U114" s="6" t="inlineStr">
        <is>
          <t>no</t>
        </is>
      </c>
      <c r="V114" s="6" t="n"/>
      <c r="W114" s="6" t="n"/>
      <c r="X114" s="6" t="n"/>
      <c r="Y114" s="6" t="n"/>
      <c r="Z114" s="6" t="n"/>
      <c r="AA114" s="6" t="n"/>
      <c r="AB114" s="6" t="n"/>
      <c r="AC114" s="6" t="n"/>
      <c r="AD114" s="6" t="n"/>
      <c r="AE114" s="6" t="n"/>
      <c r="AF114" s="6" t="n"/>
      <c r="AG114" s="6" t="n"/>
      <c r="AH114" s="6" t="n"/>
      <c r="AI114" s="6" t="n"/>
      <c r="AJ114" s="6" t="n"/>
      <c r="AK114" s="6" t="n"/>
      <c r="AL114" s="3" t="n">
        <v>500</v>
      </c>
    </row>
    <row r="115">
      <c r="A115" s="3" t="n">
        <v>278605</v>
      </c>
      <c r="B115" s="14" t="inlineStr">
        <is>
          <t>Insekten-Snack Leckerli 100g</t>
        </is>
      </c>
      <c r="C115" s="13" t="inlineStr">
        <is>
          <t>Unser Insektensnack besteht im wesentlichen aus Larven der sogenannten Soldatenfliege und wird zusammen mit Kartoffel-, Apfel und Erdbeerstücken zu einem leckeren Snack verbunden.
Insekten punkten mit einem sehr hohen Proteingehalt, einer umweltfreundlichen Produktion im Vergleich zu Fleisch und sind in der Regel auch für sehr empfindliche Tieren gut verträglich.
hypoallergen
getreidefrei
schonend getrocknet
ohne künstliche Aromen, Farbstoffe und Konservierungsmittel
Beutel 100 % recyclebar
für empfindliche Hunde</t>
        </is>
      </c>
      <c r="D115" s="6" t="inlineStr">
        <is>
          <t>in_stock</t>
        </is>
      </c>
      <c r="E115" s="6" t="n"/>
      <c r="F115" s="6" t="n"/>
      <c r="G115" s="11" t="inlineStr">
        <is>
          <t>https://www.fellkost.de/content/partners/466587/shop/shop/article/278605/insekten-snack_100g_1_packung_?category=62193</t>
        </is>
      </c>
      <c r="H115" s="6" t="n"/>
      <c r="I115" s="13" t="inlineStr">
        <is>
          <t>https://www.fellkost.de/static/content/e18829/e18831/e18851/e18890/e112208/image_shop1/ger/Insektensnack_1_w480_h480_q90_jpg.jpg?checksum=816ec1562513ae09844bae60eed51e38b7c90834</t>
        </is>
      </c>
      <c r="J115" s="7" t="n">
        <v>7.99</v>
      </c>
      <c r="K115" s="6" t="n"/>
      <c r="L115" s="6" t="n"/>
      <c r="M115" s="6" t="inlineStr">
        <is>
          <t>no</t>
        </is>
      </c>
      <c r="N115" s="6" t="n"/>
      <c r="O115" s="6" t="n"/>
      <c r="P115" s="6" t="inlineStr">
        <is>
          <t>ANIfit</t>
        </is>
      </c>
      <c r="Q115" s="13" t="n"/>
      <c r="R115" s="6" t="n"/>
      <c r="S115" s="6" t="n"/>
      <c r="T115" s="6" t="inlineStr">
        <is>
          <t>new</t>
        </is>
      </c>
      <c r="U115" s="6" t="inlineStr">
        <is>
          <t>no</t>
        </is>
      </c>
      <c r="V115" s="6" t="n"/>
      <c r="W115" s="6" t="n"/>
      <c r="X115" s="6" t="n"/>
      <c r="Y115" s="6" t="n"/>
      <c r="Z115" s="6" t="n"/>
      <c r="AA115" s="6" t="n"/>
      <c r="AB115" s="6" t="n"/>
      <c r="AC115" s="6" t="n"/>
      <c r="AD115" s="6" t="n"/>
      <c r="AE115" s="6" t="n"/>
      <c r="AF115" s="6" t="n"/>
      <c r="AG115" s="6" t="n"/>
      <c r="AH115" s="6" t="n"/>
      <c r="AI115" s="6" t="n"/>
      <c r="AJ115" s="6" t="n"/>
      <c r="AK115" s="6" t="n"/>
      <c r="AL115" s="3" t="n">
        <v>500</v>
      </c>
    </row>
    <row r="116">
      <c r="A116" s="3" t="n">
        <v>25079</v>
      </c>
      <c r="B116" s="13" t="inlineStr">
        <is>
          <t>Pro Kalbsunterbein</t>
        </is>
      </c>
      <c r="C116" s="13" t="inlineStr">
        <is>
          <t>Die Attraktion für Hunde ist das Kalbsunterbein. Mit rd. 500g ist der Knochen für alle Hunde geeignet! Längere Beschäftigung ist garantiert, und Ihr Hund wird den Knochen nicht mehr hergeben wollen.
Durch den schonenden Trocknungsprozess mit einer Temperatur von bis zu 120 Grad Celsius werden Keime und Bakterien abgetötet und die lange Haltbarkeit ohne Konservierungsstoffe erreicht.
frei von künstlichen Zusätzen
frei von Konservierungsmitteln
auf BSE und MKS getestet</t>
        </is>
      </c>
      <c r="D116" s="6" t="inlineStr">
        <is>
          <t>in_stock</t>
        </is>
      </c>
      <c r="E116" s="6" t="n"/>
      <c r="F116" s="6" t="n"/>
      <c r="G116" s="11" t="inlineStr">
        <is>
          <t>https://www.fellkost.de/content/partners/466587/shop/shop/article/25079/pro_kalbsunterbein_ca_500g_1_stueck_?category=62193</t>
        </is>
      </c>
      <c r="H116" s="6" t="n"/>
      <c r="I116" s="13" t="inlineStr">
        <is>
          <t>https://www.fellkost.de/static/content/e18829/e18831/e18851/e18890/e28890/image_shop1/ger/Kalbsunterbein_w480_h480_q90_jpg.jpg?checksum=07e795b38f92e70537dad8dfba0f1bb41db5bbd1</t>
        </is>
      </c>
      <c r="J116" s="7" t="n">
        <v>3.26</v>
      </c>
      <c r="K116" s="6" t="n"/>
      <c r="L116" s="6" t="n"/>
      <c r="M116" s="6" t="inlineStr">
        <is>
          <t>no</t>
        </is>
      </c>
      <c r="N116" s="6" t="n"/>
      <c r="O116" s="6" t="n"/>
      <c r="P116" s="6" t="inlineStr">
        <is>
          <t>ANIfit</t>
        </is>
      </c>
      <c r="Q116" s="13" t="n"/>
      <c r="R116" s="6" t="n"/>
      <c r="S116" s="6" t="n"/>
      <c r="T116" s="6" t="inlineStr">
        <is>
          <t>new</t>
        </is>
      </c>
      <c r="U116" s="6" t="inlineStr">
        <is>
          <t>no</t>
        </is>
      </c>
      <c r="V116" s="6" t="n"/>
      <c r="W116" s="6" t="n"/>
      <c r="X116" s="6" t="n"/>
      <c r="Y116" s="6" t="n"/>
      <c r="Z116" s="6" t="n"/>
      <c r="AA116" s="6" t="n"/>
      <c r="AB116" s="6" t="n"/>
      <c r="AC116" s="6" t="n"/>
      <c r="AD116" s="6" t="n"/>
      <c r="AE116" s="6" t="n"/>
      <c r="AF116" s="6" t="n"/>
      <c r="AG116" s="6" t="n"/>
      <c r="AH116" s="6" t="n"/>
      <c r="AI116" s="6" t="n"/>
      <c r="AJ116" s="6" t="n"/>
      <c r="AK116" s="6" t="n"/>
      <c r="AL116" s="3" t="n">
        <v>500</v>
      </c>
    </row>
    <row r="117">
      <c r="A117" s="3" t="n">
        <v>291748</v>
      </c>
      <c r="B117" s="13" t="inlineStr">
        <is>
          <t>Entenhälse</t>
        </is>
      </c>
      <c r="C117" s="13" t="inlineStr">
        <is>
          <t>Durch das längere Kauen des getrockneten Fleisches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17" s="6" t="inlineStr">
        <is>
          <t>in_stock</t>
        </is>
      </c>
      <c r="E117" s="6" t="n"/>
      <c r="F117" s="6" t="n"/>
      <c r="G117" s="11" t="inlineStr">
        <is>
          <t>https://www.fellkost.de/content/partners/466587/shop/shop/article/291748/entenhaelse_200g_1_stueck_?category=62193</t>
        </is>
      </c>
      <c r="H117" s="6" t="n"/>
      <c r="I117" s="13" t="inlineStr">
        <is>
          <t>https://www.fellkost.de/static/content/e18829/e18831/e18851/e18890/e118108/image_shop1/ger/Entenhals-1_w480_h480_q90_jpg.jpg?checksum=9e06fec17c936123a83935b887e8b5701145ee6d</t>
        </is>
      </c>
      <c r="J117" s="7" t="n">
        <v>5.59</v>
      </c>
      <c r="K117" s="6" t="n"/>
      <c r="L117" s="6" t="n"/>
      <c r="M117" s="6" t="inlineStr">
        <is>
          <t>no</t>
        </is>
      </c>
      <c r="N117" s="6" t="n"/>
      <c r="O117" s="6" t="n"/>
      <c r="P117" s="6" t="inlineStr">
        <is>
          <t>ANIfit</t>
        </is>
      </c>
      <c r="Q117" s="13" t="n"/>
      <c r="R117" s="6" t="n"/>
      <c r="S117" s="6" t="n"/>
      <c r="T117" s="6" t="inlineStr">
        <is>
          <t>new</t>
        </is>
      </c>
      <c r="U117" s="6" t="inlineStr">
        <is>
          <t>no</t>
        </is>
      </c>
      <c r="V117" s="6" t="n"/>
      <c r="W117" s="6" t="n"/>
      <c r="X117" s="6" t="n"/>
      <c r="Y117" s="6" t="n"/>
      <c r="Z117" s="6" t="n"/>
      <c r="AA117" s="6" t="n"/>
      <c r="AB117" s="6" t="n"/>
      <c r="AC117" s="6" t="n"/>
      <c r="AD117" s="6" t="n"/>
      <c r="AE117" s="6" t="n"/>
      <c r="AF117" s="6" t="n"/>
      <c r="AG117" s="6" t="n"/>
      <c r="AH117" s="6" t="n"/>
      <c r="AI117" s="6" t="n"/>
      <c r="AJ117" s="6" t="n"/>
      <c r="AK117" s="6" t="n"/>
      <c r="AL117" s="3" t="n">
        <v>500</v>
      </c>
    </row>
    <row r="118">
      <c r="A118" s="3" t="n">
        <v>11291</v>
      </c>
      <c r="B118" s="14" t="inlineStr">
        <is>
          <t>Rinderlunge 200g</t>
        </is>
      </c>
      <c r="C118"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t>
        </is>
      </c>
      <c r="D118" s="6" t="inlineStr">
        <is>
          <t>in_stock</t>
        </is>
      </c>
      <c r="E118" s="6" t="n"/>
      <c r="F118" s="6" t="n"/>
      <c r="G118" s="11" t="inlineStr">
        <is>
          <t>https://www.fellkost.de/content/partners/466587/shop/shop/article/11291/rinderlunge_200g_1_stueck_?category=62193</t>
        </is>
      </c>
      <c r="H118" s="6" t="n"/>
      <c r="I118" s="13" t="inlineStr">
        <is>
          <t>https://www.fellkost.de/static/content/e18829/e18831/e18851/e18890/e18911/image_shop1/ger/Rinderlunge_w480_h480_q90_jpg.jpg?checksum=07c7a9519ba158c8ba299e8a45f14bcc829c8612</t>
        </is>
      </c>
      <c r="J118" s="7" t="n">
        <v>6.09</v>
      </c>
      <c r="K118" s="6" t="n"/>
      <c r="L118" s="6" t="n"/>
      <c r="M118" s="6" t="inlineStr">
        <is>
          <t>no</t>
        </is>
      </c>
      <c r="N118" s="6" t="n"/>
      <c r="O118" s="6" t="n"/>
      <c r="P118" s="6" t="inlineStr">
        <is>
          <t>ANIfit</t>
        </is>
      </c>
      <c r="Q118" s="13" t="n"/>
      <c r="R118" s="6" t="n"/>
      <c r="S118" s="6" t="n"/>
      <c r="T118" s="6" t="inlineStr">
        <is>
          <t>new</t>
        </is>
      </c>
      <c r="U118" s="6" t="inlineStr">
        <is>
          <t>no</t>
        </is>
      </c>
      <c r="V118" s="6" t="n"/>
      <c r="W118" s="6" t="n"/>
      <c r="X118" s="6" t="n"/>
      <c r="Y118" s="6" t="n"/>
      <c r="Z118" s="6" t="n"/>
      <c r="AA118" s="6" t="n"/>
      <c r="AB118" s="6" t="n"/>
      <c r="AC118" s="6" t="n"/>
      <c r="AD118" s="6" t="n"/>
      <c r="AE118" s="6" t="n"/>
      <c r="AF118" s="6" t="n"/>
      <c r="AG118" s="6" t="n"/>
      <c r="AH118" s="6" t="n"/>
      <c r="AI118" s="6" t="n"/>
      <c r="AJ118" s="6" t="n"/>
      <c r="AK118" s="6" t="n"/>
      <c r="AL118" s="3" t="n">
        <v>500</v>
      </c>
    </row>
    <row r="119">
      <c r="A119" s="3" t="n">
        <v>25077</v>
      </c>
      <c r="B119" s="13" t="inlineStr">
        <is>
          <t>Pro Jumboknochen</t>
        </is>
      </c>
      <c r="C119" s="13" t="inlineStr">
        <is>
          <t>Die Attraktion für große Hunde ist der JUMBO-Knochen. Mit rd. 2 kg ist der Knochen ein echter Hingucker! Längere Beschäftigung mit ihm ist garantiert und Ihr Hund wird den Knochen nicht mehr hergeben wollen. Der Knochen stammt vom Rind und ist unbehandelt.
Durch den schonenden Trocknungsprozess mit einer Temperatur von bis zu 120 Grad Celsius werden Keime und Bakterien abgetötet und die lange Haltbarkeit ohne Konservierungsstoffe erreicht.
frei von künstlichen Zusätzen
frei von Konservierungsmitteln
auf BSE und MKS getestet</t>
        </is>
      </c>
      <c r="D119" s="6" t="inlineStr">
        <is>
          <t>in_stock</t>
        </is>
      </c>
      <c r="E119" s="6" t="n"/>
      <c r="F119" s="6" t="n"/>
      <c r="G119" s="11" t="inlineStr">
        <is>
          <t>https://www.fellkost.de/content/partners/466587/shop/shop/article/25077/pro_jumboknochen_1_stueck_?category=62193</t>
        </is>
      </c>
      <c r="H119" s="6" t="n"/>
      <c r="I119" s="13" t="inlineStr">
        <is>
          <t>https://www.fellkost.de/static/content/e18829/e18831/e18851/e18890/e28889/image_shop1/ger/Jumboknochen_w480_h480_q90_jpg.jpg?checksum=d2a8a292bc734c5635ab3438ae9f412e36cba494</t>
        </is>
      </c>
      <c r="J119" s="7" t="n">
        <v>8.49</v>
      </c>
      <c r="K119" s="6" t="n"/>
      <c r="L119" s="6" t="n"/>
      <c r="M119" s="6" t="inlineStr">
        <is>
          <t>no</t>
        </is>
      </c>
      <c r="N119" s="6" t="n"/>
      <c r="O119" s="6" t="n"/>
      <c r="P119" s="6" t="inlineStr">
        <is>
          <t>ANIfit</t>
        </is>
      </c>
      <c r="Q119" s="13" t="n"/>
      <c r="R119" s="6" t="n"/>
      <c r="S119" s="6" t="n"/>
      <c r="T119" s="6" t="inlineStr">
        <is>
          <t>new</t>
        </is>
      </c>
      <c r="U119" s="6" t="inlineStr">
        <is>
          <t>no</t>
        </is>
      </c>
      <c r="V119" s="6" t="n"/>
      <c r="W119" s="6" t="n"/>
      <c r="X119" s="6" t="n"/>
      <c r="Y119" s="6" t="n"/>
      <c r="Z119" s="6" t="n"/>
      <c r="AA119" s="6" t="n"/>
      <c r="AB119" s="6" t="n"/>
      <c r="AC119" s="6" t="n"/>
      <c r="AD119" s="6" t="n"/>
      <c r="AE119" s="6" t="n"/>
      <c r="AF119" s="6" t="n"/>
      <c r="AG119" s="6" t="n"/>
      <c r="AH119" s="6" t="n"/>
      <c r="AI119" s="6" t="n"/>
      <c r="AJ119" s="6" t="n"/>
      <c r="AK119" s="6" t="n"/>
      <c r="AL119" s="3" t="n">
        <v>500</v>
      </c>
    </row>
    <row r="120">
      <c r="A120" s="3" t="n">
        <v>401478</v>
      </c>
      <c r="B120" s="14" t="inlineStr">
        <is>
          <t>Kabeljau-Sticks 200g</t>
        </is>
      </c>
      <c r="C120" s="13" t="inlineStr">
        <is>
          <t>Durch das längere Kauen der getrockneten Fischhaut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0" s="6" t="inlineStr">
        <is>
          <t>in_stock</t>
        </is>
      </c>
      <c r="E120" s="6" t="n"/>
      <c r="F120" s="6" t="n"/>
      <c r="G120" s="11" t="inlineStr">
        <is>
          <t>https://www.fellkost.de/content/partners/466587/shop/shop/article/401478/kabeljau-sticks_200g_1_stueck_?category=62193</t>
        </is>
      </c>
      <c r="H120" s="6" t="n"/>
      <c r="I120" s="13" t="inlineStr">
        <is>
          <t>https://www.fellkost.de/static/content/e18829/e18831/e18851/e18890/e215946/image_shop1/ger/Kabeljau-Stick-1_w480_h480_q90_jpg.jpg?checksum=b2832719c663cf973e0e172aebf1984ed7fd0be3</t>
        </is>
      </c>
      <c r="J120" s="7" t="n">
        <v>11.69</v>
      </c>
      <c r="K120" s="6" t="n"/>
      <c r="L120" s="6" t="n"/>
      <c r="M120" s="6" t="inlineStr">
        <is>
          <t>no</t>
        </is>
      </c>
      <c r="N120" s="6" t="n"/>
      <c r="O120" s="6" t="n"/>
      <c r="P120" s="6" t="inlineStr">
        <is>
          <t>ANIfit</t>
        </is>
      </c>
      <c r="Q120" s="13" t="n"/>
      <c r="R120" s="6" t="n"/>
      <c r="S120" s="6" t="n"/>
      <c r="T120" s="6" t="inlineStr">
        <is>
          <t>new</t>
        </is>
      </c>
      <c r="U120" s="6" t="inlineStr">
        <is>
          <t>no</t>
        </is>
      </c>
      <c r="V120" s="6" t="n"/>
      <c r="W120" s="6" t="n"/>
      <c r="X120" s="6" t="n"/>
      <c r="Y120" s="6" t="n"/>
      <c r="Z120" s="6" t="n"/>
      <c r="AA120" s="6" t="n"/>
      <c r="AB120" s="6" t="n"/>
      <c r="AC120" s="6" t="n"/>
      <c r="AD120" s="6" t="n"/>
      <c r="AE120" s="6" t="n"/>
      <c r="AF120" s="6" t="n"/>
      <c r="AG120" s="6" t="n"/>
      <c r="AH120" s="6" t="n"/>
      <c r="AI120" s="6" t="n"/>
      <c r="AJ120" s="6" t="n"/>
      <c r="AK120" s="6" t="n"/>
      <c r="AL120" s="3" t="n">
        <v>500</v>
      </c>
    </row>
    <row r="121">
      <c r="A121" s="3" t="n">
        <v>11266</v>
      </c>
      <c r="B121" s="14" t="inlineStr">
        <is>
          <t>Rinderpansen 200g</t>
        </is>
      </c>
      <c r="C121"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1" s="6" t="inlineStr">
        <is>
          <t>in_stock</t>
        </is>
      </c>
      <c r="E121" s="6" t="n"/>
      <c r="F121" s="6" t="n"/>
      <c r="G121" s="11" t="inlineStr">
        <is>
          <t>https://www.fellkost.de/content/partners/466587/shop/shop/article/11266/rinderpansen_200g_1_stueck_?category=62193</t>
        </is>
      </c>
      <c r="H121" s="6" t="n"/>
      <c r="I121" s="13" t="inlineStr">
        <is>
          <t>https://www.fellkost.de/static/content/e18829/e18831/e18851/e18890/e18886/image_shop1/ger/Rinderpansen_w480_h480_q90_jpg.jpg?checksum=06ccf70cf538fe3b5952069553a7db134d71f549</t>
        </is>
      </c>
      <c r="J121" s="7" t="n">
        <v>7.79</v>
      </c>
      <c r="K121" s="6" t="n"/>
      <c r="L121" s="6" t="n"/>
      <c r="M121" s="6" t="inlineStr">
        <is>
          <t>no</t>
        </is>
      </c>
      <c r="N121" s="6" t="n"/>
      <c r="O121" s="6" t="n"/>
      <c r="P121" s="6" t="inlineStr">
        <is>
          <t>ANIfit</t>
        </is>
      </c>
      <c r="Q121" s="13" t="n"/>
      <c r="R121" s="6" t="n"/>
      <c r="S121" s="6" t="n"/>
      <c r="T121" s="6" t="inlineStr">
        <is>
          <t>new</t>
        </is>
      </c>
      <c r="U121" s="6" t="inlineStr">
        <is>
          <t>no</t>
        </is>
      </c>
      <c r="V121" s="6" t="n"/>
      <c r="W121" s="6" t="n"/>
      <c r="X121" s="6" t="n"/>
      <c r="Y121" s="6" t="n"/>
      <c r="Z121" s="6" t="n"/>
      <c r="AA121" s="6" t="n"/>
      <c r="AB121" s="6" t="n"/>
      <c r="AC121" s="6" t="n"/>
      <c r="AD121" s="6" t="n"/>
      <c r="AE121" s="6" t="n"/>
      <c r="AF121" s="6" t="n"/>
      <c r="AG121" s="6" t="n"/>
      <c r="AH121" s="6" t="n"/>
      <c r="AI121" s="6" t="n"/>
      <c r="AJ121" s="6" t="n"/>
      <c r="AK121" s="6" t="n"/>
      <c r="AL121" s="3" t="n">
        <v>500</v>
      </c>
    </row>
    <row r="122">
      <c r="A122" s="3" t="n">
        <v>11271</v>
      </c>
      <c r="B122" s="14" t="inlineStr">
        <is>
          <t>Rinder-Trockenfleisch 200g</t>
        </is>
      </c>
      <c r="C122"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2" s="6" t="inlineStr">
        <is>
          <t>in_stock</t>
        </is>
      </c>
      <c r="E122" s="6" t="n"/>
      <c r="F122" s="6" t="n"/>
      <c r="G122" s="11" t="inlineStr">
        <is>
          <t>https://www.fellkost.de/content/partners/466587/shop/shop/article/11271/trockenfleisch_200g_1_stueck_?category=62193</t>
        </is>
      </c>
      <c r="H122" s="6" t="n"/>
      <c r="I122" s="13" t="inlineStr">
        <is>
          <t>https://www.fellkost.de/static/content/e18829/e18831/e18851/e18890/e18891/image_shop1/ger/Rindertrockenfleisch_w480_h480_q90_jpg.jpg?checksum=3615ce8a5104e519cfde0a4bb16631cad9d0ada9</t>
        </is>
      </c>
      <c r="J122" s="7" t="n">
        <v>11.89</v>
      </c>
      <c r="K122" s="6" t="n"/>
      <c r="L122" s="6" t="n"/>
      <c r="M122" s="6" t="inlineStr">
        <is>
          <t>no</t>
        </is>
      </c>
      <c r="N122" s="6" t="n"/>
      <c r="O122" s="6" t="n"/>
      <c r="P122" s="6" t="inlineStr">
        <is>
          <t>ANIfit</t>
        </is>
      </c>
      <c r="Q122" s="13" t="n"/>
      <c r="R122" s="6" t="n"/>
      <c r="S122" s="6" t="n"/>
      <c r="T122" s="6" t="inlineStr">
        <is>
          <t>new</t>
        </is>
      </c>
      <c r="U122" s="6" t="inlineStr">
        <is>
          <t>no</t>
        </is>
      </c>
      <c r="V122" s="6" t="n"/>
      <c r="W122" s="6" t="n"/>
      <c r="X122" s="6" t="n"/>
      <c r="Y122" s="6" t="n"/>
      <c r="Z122" s="6" t="n"/>
      <c r="AA122" s="6" t="n"/>
      <c r="AB122" s="6" t="n"/>
      <c r="AC122" s="6" t="n"/>
      <c r="AD122" s="6" t="n"/>
      <c r="AE122" s="6" t="n"/>
      <c r="AF122" s="6" t="n"/>
      <c r="AG122" s="6" t="n"/>
      <c r="AH122" s="6" t="n"/>
      <c r="AI122" s="6" t="n"/>
      <c r="AJ122" s="6" t="n"/>
      <c r="AK122" s="6" t="n"/>
      <c r="AL122" s="3" t="n">
        <v>500</v>
      </c>
    </row>
    <row r="123">
      <c r="A123" s="3" t="n">
        <v>305704</v>
      </c>
      <c r="B123" s="14" t="inlineStr">
        <is>
          <t>Käs-Stangerl | Maxi Beutel 360g</t>
        </is>
      </c>
      <c r="C123" s="13" t="inlineStr">
        <is>
          <t>Durch das längere Kauen des getrockneten Käses wird lästiger Zahnstein vom Gebiss entfernt. Die Trockenleckerlis sind deswegen nicht nur als Belohnungs-„Leckerli“, sondern auch für die laufende Zahnpflege empfehlenswert.
Leckerli für gesunde Zähne
Sorgfältig getrocknet über 3-4 Monate
Luftgetrocknet, ohne Konservierungsstoffe
Naturbelassen, ohne chemische Zusätze
Vegetarisch, glutenfrei, laktosearm (&lt; 1 %)</t>
        </is>
      </c>
      <c r="D123" s="6" t="inlineStr">
        <is>
          <t>in_stock</t>
        </is>
      </c>
      <c r="E123" s="6" t="n"/>
      <c r="F123" s="6" t="n"/>
      <c r="G123" s="11" t="inlineStr">
        <is>
          <t>https://www.fellkost.de/content/partners/466587/shop/shop/article/305704/kaes-stangerl_maxi_1_beutel_</t>
        </is>
      </c>
      <c r="H123" s="6" t="n"/>
      <c r="I123" s="13" t="inlineStr">
        <is>
          <t>https://www.fellkost.de/static/content/e18829/e18831/e18851/e18890/e126175/image_shop1/ger/K%C3%A4s-Stangerl%20Maxi-1_w480_h480_q90_jpg.jpg?checksum=91dd74f0e9d245c7cf1e975a1ff9e6f6062ca0cf</t>
        </is>
      </c>
      <c r="J123" s="7" t="n">
        <v>34.99</v>
      </c>
      <c r="K123" s="6" t="n"/>
      <c r="L123" s="6" t="n"/>
      <c r="M123" s="6" t="inlineStr">
        <is>
          <t>no</t>
        </is>
      </c>
      <c r="N123" s="6" t="n"/>
      <c r="O123" s="6" t="n"/>
      <c r="P123" s="6" t="inlineStr">
        <is>
          <t>ANIfit</t>
        </is>
      </c>
      <c r="Q123" s="13" t="n"/>
      <c r="R123" s="6" t="n"/>
      <c r="S123" s="6" t="n"/>
      <c r="T123" s="6" t="inlineStr">
        <is>
          <t>new</t>
        </is>
      </c>
      <c r="U123" s="6" t="inlineStr">
        <is>
          <t>no</t>
        </is>
      </c>
      <c r="V123" s="6" t="n"/>
      <c r="W123" s="6" t="n"/>
      <c r="X123" s="6" t="n"/>
      <c r="Y123" s="6" t="n"/>
      <c r="Z123" s="6" t="n"/>
      <c r="AA123" s="6" t="n"/>
      <c r="AB123" s="6" t="n"/>
      <c r="AC123" s="6" t="n"/>
      <c r="AD123" s="6" t="n"/>
      <c r="AE123" s="6" t="n"/>
      <c r="AF123" s="6" t="n"/>
      <c r="AG123" s="6" t="n"/>
      <c r="AH123" s="6" t="n"/>
      <c r="AI123" s="6" t="n"/>
      <c r="AJ123" s="6" t="n"/>
      <c r="AK123" s="6" t="n"/>
      <c r="AL123" s="3" t="n">
        <v>500</v>
      </c>
    </row>
    <row r="124">
      <c r="A124" s="3" t="n">
        <v>305622</v>
      </c>
      <c r="B124" s="14" t="inlineStr">
        <is>
          <t>Käs-Stangerl | Mini Beutel 180g</t>
        </is>
      </c>
      <c r="C124" s="13" t="inlineStr">
        <is>
          <t>Durch das längere Kauen des getrockneten Käses wird lästiger Zahnstein vom Gebiss entfernt. Die Trockenleckerlis sind deswegen nicht nur als Belohnungs-„Leckerli“, sondern auch für die laufende Zahnpflege empfehlenswert.
Leckerli für gesunde Zähne
Sorgfältig getrocknet über 3-4 Monate
Luftgetrocknet, ohne Konservierungsstoffe
Naturbelassen, ohne chemische Zusätze
Vegetarisch, glutenfrei, laktosearm (&lt; 1 %)</t>
        </is>
      </c>
      <c r="D124" s="6" t="inlineStr">
        <is>
          <t>in_stock</t>
        </is>
      </c>
      <c r="E124" s="6" t="n"/>
      <c r="F124" s="6" t="n"/>
      <c r="G124" s="11" t="inlineStr">
        <is>
          <t>https://www.fellkost.de/content/partners/466587/shop/shop/article/305622/kaes-stangerl_mini_1_beutel_?category=62193</t>
        </is>
      </c>
      <c r="H124" s="6" t="n"/>
      <c r="I124" s="13" t="inlineStr">
        <is>
          <t>https://www.fellkost.de/static/content/e18829/e18831/e18851/e18890/e126174/image_shop1/ger/K%C3%A4s-Stangerl%20Mini-1_w480_h480_q90_jpg.jpg?checksum=f74b6e777c813e019e90a084b6d49b7190479dd7</t>
        </is>
      </c>
      <c r="J124" s="7" t="n">
        <v>19.99</v>
      </c>
      <c r="K124" s="6" t="n"/>
      <c r="L124" s="6" t="n"/>
      <c r="M124" s="6" t="inlineStr">
        <is>
          <t>no</t>
        </is>
      </c>
      <c r="N124" s="6" t="n"/>
      <c r="O124" s="6" t="n"/>
      <c r="P124" s="6" t="inlineStr">
        <is>
          <t>ANIfit</t>
        </is>
      </c>
      <c r="Q124" s="13" t="n"/>
      <c r="R124" s="6" t="n"/>
      <c r="S124" s="6" t="n"/>
      <c r="T124" s="6" t="inlineStr">
        <is>
          <t>new</t>
        </is>
      </c>
      <c r="U124" s="6" t="inlineStr">
        <is>
          <t>no</t>
        </is>
      </c>
      <c r="V124" s="6" t="n"/>
      <c r="W124" s="6" t="n"/>
      <c r="X124" s="6" t="n"/>
      <c r="Y124" s="6" t="n"/>
      <c r="Z124" s="6" t="n"/>
      <c r="AA124" s="6" t="n"/>
      <c r="AB124" s="6" t="n"/>
      <c r="AC124" s="6" t="n"/>
      <c r="AD124" s="6" t="n"/>
      <c r="AE124" s="6" t="n"/>
      <c r="AF124" s="6" t="n"/>
      <c r="AG124" s="6" t="n"/>
      <c r="AH124" s="6" t="n"/>
      <c r="AI124" s="6" t="n"/>
      <c r="AJ124" s="6" t="n"/>
      <c r="AK124" s="6" t="n"/>
      <c r="AL124" s="3" t="n">
        <v>500</v>
      </c>
    </row>
    <row r="125">
      <c r="A125" s="3" t="n">
        <v>11274</v>
      </c>
      <c r="B125" s="14" t="inlineStr">
        <is>
          <t>Rinder-Kopfhaut Leckerli Snack 200g</t>
        </is>
      </c>
      <c r="C125"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5" s="6" t="inlineStr">
        <is>
          <t>in_stock</t>
        </is>
      </c>
      <c r="E125" s="6" t="n"/>
      <c r="F125" s="6" t="n"/>
      <c r="G125" s="11" t="inlineStr">
        <is>
          <t>https://www.fellkost.de/content/partners/466587/shop/shop/article/11274/kopfhaut_200g_1_stueck_?category=62193</t>
        </is>
      </c>
      <c r="H125" s="6" t="n"/>
      <c r="I125" s="13" t="inlineStr">
        <is>
          <t>https://www.fellkost.de/static/content/e18829/e18831/e18851/e18890/e18894/image_shop1/ger/Rinderkopfhaut_w480_h480_q90_jpg.jpg?checksum=e9db026e59b9dc7ef7dcc55ec20499a9a59de25c</t>
        </is>
      </c>
      <c r="J125" s="7" t="n">
        <v>7.19</v>
      </c>
      <c r="K125" s="6" t="n"/>
      <c r="L125" s="6" t="n"/>
      <c r="M125" s="6" t="inlineStr">
        <is>
          <t>no</t>
        </is>
      </c>
      <c r="N125" s="6" t="n"/>
      <c r="O125" s="6" t="n"/>
      <c r="P125" s="6" t="inlineStr">
        <is>
          <t>ANIfit</t>
        </is>
      </c>
      <c r="Q125" s="13" t="n"/>
      <c r="R125" s="6" t="n"/>
      <c r="S125" s="6" t="n"/>
      <c r="T125" s="6" t="inlineStr">
        <is>
          <t>new</t>
        </is>
      </c>
      <c r="U125" s="6" t="inlineStr">
        <is>
          <t>no</t>
        </is>
      </c>
      <c r="V125" s="6" t="n"/>
      <c r="W125" s="6" t="n"/>
      <c r="X125" s="6" t="n"/>
      <c r="Y125" s="6" t="n"/>
      <c r="Z125" s="6" t="n"/>
      <c r="AA125" s="6" t="n"/>
      <c r="AB125" s="6" t="n"/>
      <c r="AC125" s="6" t="n"/>
      <c r="AD125" s="6" t="n"/>
      <c r="AE125" s="6" t="n"/>
      <c r="AF125" s="6" t="n"/>
      <c r="AG125" s="6" t="n"/>
      <c r="AH125" s="6" t="n"/>
      <c r="AI125" s="6" t="n"/>
      <c r="AJ125" s="6" t="n"/>
      <c r="AK125" s="6" t="n"/>
      <c r="AL125" s="3" t="n">
        <v>500</v>
      </c>
    </row>
    <row r="126">
      <c r="A126" s="3" t="n">
        <v>11292</v>
      </c>
      <c r="B126" s="14" t="inlineStr">
        <is>
          <t>Rinderstrossen Leckerli Snack 200g</t>
        </is>
      </c>
      <c r="C126"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6" s="6" t="inlineStr">
        <is>
          <t>in_stock</t>
        </is>
      </c>
      <c r="E126" s="6" t="n"/>
      <c r="F126" s="6" t="n"/>
      <c r="G126" s="11" t="inlineStr">
        <is>
          <t>https://www.fellkost.de/content/partners/466587/shop/shop/article/11292/rinderstrossen_200g_1_stueck_?category=62193</t>
        </is>
      </c>
      <c r="H126" s="6" t="n"/>
      <c r="I126" s="13" t="inlineStr">
        <is>
          <t>https://www.fellkost.de/static/content/e18829/e18831/e18851/e18890/e18912/image_shop1/ger/Rinderstrossen_w480_h480_q90_jpg.jpg?checksum=379965370db3e48fca013e75b2b35da70b5a0b8b</t>
        </is>
      </c>
      <c r="J126" s="7" t="n">
        <v>6.29</v>
      </c>
      <c r="K126" s="6" t="n"/>
      <c r="L126" s="6" t="n"/>
      <c r="M126" s="6" t="inlineStr">
        <is>
          <t>no</t>
        </is>
      </c>
      <c r="N126" s="6" t="n"/>
      <c r="O126" s="6" t="n"/>
      <c r="P126" s="6" t="inlineStr">
        <is>
          <t>ANIfit</t>
        </is>
      </c>
      <c r="Q126" s="13" t="n"/>
      <c r="R126" s="6" t="n"/>
      <c r="S126" s="6" t="n"/>
      <c r="T126" s="6" t="inlineStr">
        <is>
          <t>new</t>
        </is>
      </c>
      <c r="U126" s="6" t="inlineStr">
        <is>
          <t>no</t>
        </is>
      </c>
      <c r="V126" s="6" t="n"/>
      <c r="W126" s="6" t="n"/>
      <c r="X126" s="6" t="n"/>
      <c r="Y126" s="6" t="n"/>
      <c r="Z126" s="6" t="n"/>
      <c r="AA126" s="6" t="n"/>
      <c r="AB126" s="6" t="n"/>
      <c r="AC126" s="6" t="n"/>
      <c r="AD126" s="6" t="n"/>
      <c r="AE126" s="6" t="n"/>
      <c r="AF126" s="6" t="n"/>
      <c r="AG126" s="6" t="n"/>
      <c r="AH126" s="6" t="n"/>
      <c r="AI126" s="6" t="n"/>
      <c r="AJ126" s="6" t="n"/>
      <c r="AK126" s="6" t="n"/>
      <c r="AL126" s="3" t="n">
        <v>500</v>
      </c>
    </row>
    <row r="127">
      <c r="A127" s="3" t="n">
        <v>11278</v>
      </c>
      <c r="B127" s="14" t="inlineStr">
        <is>
          <t>Rinderohren Leckerli Snack 200g</t>
        </is>
      </c>
      <c r="C127"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7" s="6" t="inlineStr">
        <is>
          <t>in_stock</t>
        </is>
      </c>
      <c r="E127" s="6" t="n"/>
      <c r="F127" s="6" t="n"/>
      <c r="G127" s="11" t="inlineStr">
        <is>
          <t>https://www.fellkost.de/content/partners/466587/shop/shop/article/11278/rinderohren_200g_1_stueck_?category=62193</t>
        </is>
      </c>
      <c r="H127" s="6" t="n"/>
      <c r="I127" s="13" t="inlineStr">
        <is>
          <t>https://www.fellkost.de/static/content/e18829/e18831/e18851/e18890/e18898/image_shop1/ger/Rinderohren_1_w480_h480_q90_jpg.jpg?checksum=e800b3902c0e0ffd081049de30ca0d1f400c9844</t>
        </is>
      </c>
      <c r="J127" s="7" t="n">
        <v>7.09</v>
      </c>
      <c r="K127" s="6" t="n"/>
      <c r="L127" s="6" t="n"/>
      <c r="M127" s="6" t="inlineStr">
        <is>
          <t>no</t>
        </is>
      </c>
      <c r="N127" s="6" t="n"/>
      <c r="O127" s="6" t="n"/>
      <c r="P127" s="6" t="inlineStr">
        <is>
          <t>ANIfit</t>
        </is>
      </c>
      <c r="Q127" s="13" t="n"/>
      <c r="R127" s="6" t="n"/>
      <c r="S127" s="6" t="n"/>
      <c r="T127" s="6" t="inlineStr">
        <is>
          <t>new</t>
        </is>
      </c>
      <c r="U127" s="6" t="inlineStr">
        <is>
          <t>no</t>
        </is>
      </c>
      <c r="V127" s="6" t="n"/>
      <c r="W127" s="6" t="n"/>
      <c r="X127" s="6" t="n"/>
      <c r="Y127" s="6" t="n"/>
      <c r="Z127" s="6" t="n"/>
      <c r="AA127" s="6" t="n"/>
      <c r="AB127" s="6" t="n"/>
      <c r="AC127" s="6" t="n"/>
      <c r="AD127" s="6" t="n"/>
      <c r="AE127" s="6" t="n"/>
      <c r="AF127" s="6" t="n"/>
      <c r="AG127" s="6" t="n"/>
      <c r="AH127" s="6" t="n"/>
      <c r="AI127" s="6" t="n"/>
      <c r="AJ127" s="6" t="n"/>
      <c r="AK127" s="6" t="n"/>
      <c r="AL127" s="3" t="n">
        <v>500</v>
      </c>
    </row>
    <row r="128">
      <c r="A128" s="3" t="n">
        <v>11268</v>
      </c>
      <c r="B128" s="14" t="inlineStr">
        <is>
          <t>Hähnchenmägen Leckerli 200g</t>
        </is>
      </c>
      <c r="C128" s="13" t="inlineStr">
        <is>
          <t>Durch das längere Kauen des getrockneten Fleisches speziell der Rinderkopfhaut und der Rinderohren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8" s="6" t="inlineStr">
        <is>
          <t>in_stock</t>
        </is>
      </c>
      <c r="E128" s="6" t="n"/>
      <c r="F128" s="6" t="n"/>
      <c r="G128" s="11" t="inlineStr">
        <is>
          <t>https://www.fellkost.de/content/partners/466587/shop/shop/article/11268/haehnchenmaegen_200g_1_stueck_?category=62193</t>
        </is>
      </c>
      <c r="H128" s="6" t="n"/>
      <c r="I128" s="13" t="inlineStr">
        <is>
          <t>https://www.fellkost.de/static/content/e18829/e18831/e18851/e18890/e18888/image_shop1/ger/H%C3%A4hnchenm%C3%A4gen_w480_h480_q90_jpg.jpg?checksum=abfb17d03cdea07b4dbbb931105b713b80c22083</t>
        </is>
      </c>
      <c r="J128" s="7" t="n">
        <v>7.19</v>
      </c>
      <c r="K128" s="6" t="n"/>
      <c r="L128" s="6" t="n"/>
      <c r="M128" s="6" t="inlineStr">
        <is>
          <t>no</t>
        </is>
      </c>
      <c r="N128" s="6" t="n"/>
      <c r="O128" s="6" t="n"/>
      <c r="P128" s="6" t="inlineStr">
        <is>
          <t>ANIfit</t>
        </is>
      </c>
      <c r="Q128" s="13" t="n"/>
      <c r="R128" s="6" t="n"/>
      <c r="S128" s="6" t="n"/>
      <c r="T128" s="6" t="inlineStr">
        <is>
          <t>new</t>
        </is>
      </c>
      <c r="U128" s="6" t="inlineStr">
        <is>
          <t>no</t>
        </is>
      </c>
      <c r="V128" s="6" t="n"/>
      <c r="W128" s="6" t="n"/>
      <c r="X128" s="6" t="n"/>
      <c r="Y128" s="6" t="n"/>
      <c r="Z128" s="6" t="n"/>
      <c r="AA128" s="6" t="n"/>
      <c r="AB128" s="6" t="n"/>
      <c r="AC128" s="6" t="n"/>
      <c r="AD128" s="6" t="n"/>
      <c r="AE128" s="6" t="n"/>
      <c r="AF128" s="6" t="n"/>
      <c r="AG128" s="6" t="n"/>
      <c r="AH128" s="6" t="n"/>
      <c r="AI128" s="6" t="n"/>
      <c r="AJ128" s="6" t="n"/>
      <c r="AK128" s="6" t="n"/>
      <c r="AL128" s="3" t="n">
        <v>500</v>
      </c>
    </row>
    <row r="129">
      <c r="A129" s="3" t="n">
        <v>116033</v>
      </c>
      <c r="B129" s="14" t="inlineStr">
        <is>
          <t>Pferdebrocken Trockenlerckerlis 200g</t>
        </is>
      </c>
      <c r="C129" s="13" t="inlineStr">
        <is>
          <t>Durch das längere Kauen des getrockneten Fleisches wird nebenbei lästiger Zahnstein vom Gebiss entfernt. Die Trockenleckerlis sind deswegen nicht nur als Belohnungs-„Leckerli“, sondern auch für die laufende Zahnpflege empfehlenswert.
Durch den schonenden Trocknungsprozess mit einer Temperatur von bis zu 120 Grad Celsius werden Keime und Bakterien abgetötet und die lange Haltbarkeit ohne Konservierungsstoffe erreicht.
Kalorienarmes Leckerli für gesunde Zähne
Luftgetrocknet, ohne Konservierungsstoffe
Naturbelassen, ohne chemische Zusätze</t>
        </is>
      </c>
      <c r="D129" s="6" t="inlineStr">
        <is>
          <t>in_stock</t>
        </is>
      </c>
      <c r="E129" s="6" t="n"/>
      <c r="F129" s="6" t="n"/>
      <c r="G129" s="11" t="inlineStr">
        <is>
          <t>https://www.fellkost.de/content/partners/466587/shop/shop/article/116033/pferdebrocken_200g_1_stueck_?category=62193</t>
        </is>
      </c>
      <c r="H129" s="6" t="n"/>
      <c r="I129" s="13" t="inlineStr">
        <is>
          <t>https://www.fellkost.de/static/content/e18829/e18831/e18851/e18890/e94180/image_shop1/ger/Pferdebrocken-1_w480_h480_q90_jpg.jpg?checksum=c7a27b3bbb9cab90b15e96dd6f2fe3c4dedec190</t>
        </is>
      </c>
      <c r="J129" s="7" t="n">
        <v>11.29</v>
      </c>
      <c r="K129" s="6" t="n"/>
      <c r="L129" s="6" t="n"/>
      <c r="M129" s="6" t="inlineStr">
        <is>
          <t>no</t>
        </is>
      </c>
      <c r="N129" s="6" t="n"/>
      <c r="O129" s="6" t="n"/>
      <c r="P129" s="6" t="inlineStr">
        <is>
          <t>ANIfit</t>
        </is>
      </c>
      <c r="Q129" s="13" t="n"/>
      <c r="R129" s="6" t="n"/>
      <c r="S129" s="6" t="n"/>
      <c r="T129" s="6" t="inlineStr">
        <is>
          <t>new</t>
        </is>
      </c>
      <c r="U129" s="6" t="inlineStr">
        <is>
          <t>no</t>
        </is>
      </c>
      <c r="V129" s="6" t="n"/>
      <c r="W129" s="6" t="n"/>
      <c r="X129" s="6" t="n"/>
      <c r="Y129" s="6" t="n"/>
      <c r="Z129" s="6" t="n"/>
      <c r="AA129" s="6" t="n"/>
      <c r="AB129" s="6" t="n"/>
      <c r="AC129" s="6" t="n"/>
      <c r="AD129" s="6" t="n"/>
      <c r="AE129" s="6" t="n"/>
      <c r="AF129" s="6" t="n"/>
      <c r="AG129" s="6" t="n"/>
      <c r="AH129" s="6" t="n"/>
      <c r="AI129" s="6" t="n"/>
      <c r="AJ129" s="6" t="n"/>
      <c r="AK129" s="6" t="n"/>
      <c r="AL129" s="3" t="n">
        <v>500</v>
      </c>
    </row>
    <row r="130">
      <c r="A130" s="3" t="n">
        <v>278883</v>
      </c>
      <c r="B130" s="14" t="inlineStr">
        <is>
          <t>Kolostrum 50g</t>
        </is>
      </c>
      <c r="C130" s="13" t="inlineStr">
        <is>
          <t>Kolostrum enthält wie die später gebildete Milch Proteine, Enzyme, Vitamine, Mineralien, Wachstumsfaktoren, Aminosäuren und von der Mutter gebildete Antikörper (IgM, IgA, IgG), jedoch teilweise in höheren Anteilen. Damit wird das Kind oder Jungtier gestärkt und seine Immunabwehr wird unterstützt. Der Fettanteil in Kolostrum ist geringer als in Milch.
Kolostrum unterstützt den Körper daher auf folgenden Ebenen:
Als starkes Antiinfektivum schützt Kolostrum zuerst das Neugeborene vor den Keimen um es herum. Unter den Zellen des Kolostrums befinden sich tatsächlich zwei Drittel weiße Blutkörperchen. Diese Leukozyten produzieren Antikörper, die für die Neutralisierung der Viren und Bakterien verantwortlich sind, denen das Baby begegnet.
Es ist reich an "guten Bakterien" wie Lactobacillus bifidus, und beteiligt sich aktiv an der guten Entwicklung seiner Darmmikrobiota. Es verbessert auch die Verdauungsfunktion insgesamt.
Durch seinen hohen Anteil an Immunglobulin A (IgA) ist Kolostrum ein wahrer Immunsystembooster.
Es enthält Fettsäuren, besonders langkettige Fettsäuren, Vitamine und Mineralstoffe (Magnesium, das sich positiv auf das Herz-Kreislauf-System und die Knochen auswirkt, sowie Zink und Kupfer, die zur Verbesserung der Immunität beitragen) und bildet somit eine wahre Reserve an Nährstoffen und Energie.</t>
        </is>
      </c>
      <c r="D130" s="6" t="inlineStr">
        <is>
          <t>in_stock</t>
        </is>
      </c>
      <c r="E130" s="6" t="n"/>
      <c r="F130" s="6" t="n"/>
      <c r="G130" s="11" t="inlineStr">
        <is>
          <t>https://www.fellkost.de/content/partners/466587/shop/shop/article/278883/kolostrum_50g_1_stueck_?category=62194</t>
        </is>
      </c>
      <c r="H130" s="6" t="n"/>
      <c r="I130" s="13" t="inlineStr">
        <is>
          <t>https://www.fellkost.de/static/content/e18829/e18831/e18851/e18901/e112317/image_shop1/ger/Katze%20Hund%20Nahrungserg%C3%A4nzung%20Kolostrum%2050%20g%201920%20x%201920_w480_h480_q90_jpg.jpg?checksum=6d2f8fb6301a7f4c459236e2a34acc39ca22dd52</t>
        </is>
      </c>
      <c r="J130" s="7" t="n">
        <v>12.7</v>
      </c>
      <c r="K130" s="6" t="n"/>
      <c r="L130" s="6" t="n"/>
      <c r="M130" s="6" t="inlineStr">
        <is>
          <t>no</t>
        </is>
      </c>
      <c r="N130" s="6" t="n"/>
      <c r="O130" s="6" t="n"/>
      <c r="P130" s="6" t="inlineStr">
        <is>
          <t>ANIfit</t>
        </is>
      </c>
      <c r="Q130" s="13" t="n"/>
      <c r="R130" s="6" t="n"/>
      <c r="S130" s="6" t="n"/>
      <c r="T130" s="6" t="inlineStr">
        <is>
          <t>new</t>
        </is>
      </c>
      <c r="U130" s="6" t="inlineStr">
        <is>
          <t>no</t>
        </is>
      </c>
      <c r="V130" s="6" t="n"/>
      <c r="W130" s="6" t="n"/>
      <c r="X130" s="6" t="n"/>
      <c r="Y130" s="6" t="n"/>
      <c r="Z130" s="6" t="n"/>
      <c r="AA130" s="6" t="n"/>
      <c r="AB130" s="6" t="n"/>
      <c r="AC130" s="6" t="n"/>
      <c r="AD130" s="6" t="n"/>
      <c r="AE130" s="6" t="n"/>
      <c r="AF130" s="6" t="n"/>
      <c r="AG130" s="6" t="n"/>
      <c r="AH130" s="6" t="n"/>
      <c r="AI130" s="6" t="n"/>
      <c r="AJ130" s="6" t="n"/>
      <c r="AK130" s="6" t="n"/>
      <c r="AL130" s="3" t="n">
        <v>500</v>
      </c>
    </row>
    <row r="131">
      <c r="A131" s="3" t="n">
        <v>398758</v>
      </c>
      <c r="B131" s="14" t="inlineStr">
        <is>
          <t>Power-Darm von Anifit für die Darmflora für Hunde &amp; Katzen 60g</t>
        </is>
      </c>
      <c r="C131" s="13" t="inlineStr">
        <is>
          <t>Stress, Ernährung und weitere Faktoren können sich negativ auf die Darmflora auswirken. Power-Darm enthält ein intensives Bündel an natürlichen Stoffen zur Stärkung der Darmflora:
Fructooligosaccharide (prebiotisch) (ca. 100.000 mg/kg)
Mannanoligosaccharide (adhäsiv wirkend) (ca. 70.000 mg/kg)
Glucan-Polysaccharide (Immunstimulans) (ca. 110.000 mg/kg)
Enterococcus faecium (probiotisch)
Inulin (prebiotisch)
Power-Darm fördert die Vermehrung der günstigen Darmbakterien (Bifidobakterien, Lactobacillen) und trägt so zur Stärkung der so genannten „Barriere“-Darmflora bei.
Schädliche Bakterien werden mit Mannanoligosaccharide gebunden und über den Kot entsorgt.
Wirkung von Power-Darm
Die Umschichtung der Darmflora dauert ca. 10-14 Tage. In dieser Phase kann eventuell eine erhöhte Flatulenz (Blähungen) und Darmaktivität festgestellt werden. Die Wirkung von Power-Darm zeigt sich durch eine bessere Verdauung mit einer weichen, guten Kotkonsistenz.
Anifit Tipp: Bei der Nahrungsumstellung und nach Darmkrankheiten empfehlen wir die Beimischung von 1-3 Gramm unter die Anifit Nassnahrung. Zudem kann es nach einer Narkose oder bei einer Antibiose zugefüttert werden.
Anifit Tipp: Nach jeder Wurmkur über einen Zeitraum von 1 Monat täglich 1-3 Gramm unter die Nahrung mischen. Ansonsten braucht der Darm 5-7 Monate, um sich wieder vollständig zu regenerieren.</t>
        </is>
      </c>
      <c r="D131" s="6" t="inlineStr">
        <is>
          <t>in_stock</t>
        </is>
      </c>
      <c r="E131" s="6" t="n"/>
      <c r="F131" s="6" t="n"/>
      <c r="G131" s="11" t="inlineStr">
        <is>
          <t>https://www.fellkost.de/content/partners/466587/shop/shop/article/398758/power-darm_60g_1_stueck_?category=62194</t>
        </is>
      </c>
      <c r="H131" s="6" t="n"/>
      <c r="I131" s="13" t="inlineStr">
        <is>
          <t>https://www.fellkost.de/static/content/e18829/e18831/e18851/e18901/e214017/image_shop1/ger/Katze%20Hund%20Nahrungserg%C3%A4nzung%20Powerdarm%2060%20g%201920%20x%201920_w480_h480_q90_jpg.jpg?checksum=2b99f6bd41249eacd7e0ff730e2e627d6121f534</t>
        </is>
      </c>
      <c r="J131" s="7" t="n">
        <v>10.89</v>
      </c>
      <c r="K131" s="6" t="n"/>
      <c r="L131" s="6" t="n"/>
      <c r="M131" s="6" t="inlineStr">
        <is>
          <t>no</t>
        </is>
      </c>
      <c r="N131" s="6" t="n"/>
      <c r="O131" s="6" t="n"/>
      <c r="P131" s="6" t="inlineStr">
        <is>
          <t>ANIfit</t>
        </is>
      </c>
      <c r="Q131" s="13" t="n"/>
      <c r="R131" s="6" t="n"/>
      <c r="S131" s="6" t="n"/>
      <c r="T131" s="6" t="inlineStr">
        <is>
          <t>new</t>
        </is>
      </c>
      <c r="U131" s="6" t="inlineStr">
        <is>
          <t>no</t>
        </is>
      </c>
      <c r="V131" s="6" t="n"/>
      <c r="W131" s="6" t="n"/>
      <c r="X131" s="6" t="n"/>
      <c r="Y131" s="6" t="n"/>
      <c r="Z131" s="6" t="n"/>
      <c r="AA131" s="6" t="n"/>
      <c r="AB131" s="6" t="n"/>
      <c r="AC131" s="6" t="n"/>
      <c r="AD131" s="6" t="n"/>
      <c r="AE131" s="6" t="n"/>
      <c r="AF131" s="6" t="n"/>
      <c r="AG131" s="6" t="n"/>
      <c r="AH131" s="6" t="n"/>
      <c r="AI131" s="6" t="n"/>
      <c r="AJ131" s="6" t="n"/>
      <c r="AK131" s="6" t="n"/>
      <c r="AL131" s="3" t="n">
        <v>500</v>
      </c>
    </row>
    <row r="132">
      <c r="A132" s="3" t="n">
        <v>11286</v>
      </c>
      <c r="B132" s="14" t="inlineStr">
        <is>
          <t>Power-Darm von Anifit für die Darmflora für Hunde &amp; Katzen 140g</t>
        </is>
      </c>
      <c r="C132" s="13" t="inlineStr">
        <is>
          <t>Stress, Ernährung und weitere Faktoren können sich negativ auf die Darmflora auswirken. Power-Darm enthält ein intensives Bündel an natürlichen Stoffen zur Stärkung der Darmflora:
Fructooligosaccharide (prebiotisch) (ca. 100.000 mg/kg)
Mannanoligosaccharide (adhäsiv wirkend) (ca. 70.000 mg/kg)
Glucan-Polysaccharide (Immunstimulans) (ca. 110.000 mg/kg)
Enterococcus faecium (probiotisch)
Inulin (prebiotisch)
Power-Darm fördert die Vermehrung der günstigen Darmbakterien (Bifidobakterien, Lactobacillen) und trägt so zur Stärkung der so genannten „Barriere“-Darmflora bei.
Schädliche Bakterien werden mit Mannanoligosaccharide gebunden und über den Kot entsorgt.
Wirkung von Power-Darm
Die Umschichtung der Darmflora dauert ca. 10-14 Tage. In dieser Phase kann eventuell eine erhöhte Flatulenz (Blähungen) und Darmaktivität festgestellt werden. Die Wirkung von Power-Darm zeigt sich durch eine bessere Verdauung mit einer weichen, guten Kotkonsistenz.
Anifit Tipp: Bei der Nahrungsumstellung und nach Darmkrankheiten empfehlen wir die Beimischung von 1-3 Gramm unter die Anifit Nassnahrung. Zudem kann es nach einer Narkose oder bei einer Antibiose zugefüttert werden.
Anifit Tipp: Nach jeder Wurmkur über einen Zeitraum von 1 Monat täglich 1-3 Gramm unter die Nahrung mischen. Ansonsten braucht der Darm 5-7 Monate, um sich wieder vollständig zu regenerieren.</t>
        </is>
      </c>
      <c r="D132" s="6" t="inlineStr">
        <is>
          <t>in_stock</t>
        </is>
      </c>
      <c r="E132" s="6" t="n"/>
      <c r="F132" s="6" t="n"/>
      <c r="G132" s="11" t="inlineStr">
        <is>
          <t>https://www.fellkost.de/content/partners/466587/shop/shop/article/11286/power-darm_140g_1_stueck_</t>
        </is>
      </c>
      <c r="H132" s="6" t="n"/>
      <c r="I132" s="13" t="inlineStr">
        <is>
          <t>https://www.fellkost.de/static/content/e18829/e18831/e18851/e18901/e18906/image_shop1/ger/Katze%20Hund%20Nahrungserg%C3%A4nzung%20Powerdarm%20140%20g%201920%20x%201920_w480_h480_q90_jpg.jpg?checksum=a86d909b438690905c5f24dc57c8686df2b72f5d</t>
        </is>
      </c>
      <c r="J132" s="7" t="n">
        <v>22.49</v>
      </c>
      <c r="K132" s="6" t="n"/>
      <c r="L132" s="6" t="n"/>
      <c r="M132" s="6" t="inlineStr">
        <is>
          <t>no</t>
        </is>
      </c>
      <c r="N132" s="6" t="n"/>
      <c r="O132" s="6" t="n"/>
      <c r="P132" s="6" t="inlineStr">
        <is>
          <t>ANIfit</t>
        </is>
      </c>
      <c r="Q132" s="13" t="n"/>
      <c r="R132" s="6" t="n"/>
      <c r="S132" s="6" t="n"/>
      <c r="T132" s="6" t="inlineStr">
        <is>
          <t>new</t>
        </is>
      </c>
      <c r="U132" s="6" t="inlineStr">
        <is>
          <t>no</t>
        </is>
      </c>
      <c r="V132" s="6" t="n"/>
      <c r="W132" s="6" t="n"/>
      <c r="X132" s="6" t="n"/>
      <c r="Y132" s="6" t="n"/>
      <c r="Z132" s="6" t="n"/>
      <c r="AA132" s="6" t="n"/>
      <c r="AB132" s="6" t="n"/>
      <c r="AC132" s="6" t="n"/>
      <c r="AD132" s="6" t="n"/>
      <c r="AE132" s="6" t="n"/>
      <c r="AF132" s="6" t="n"/>
      <c r="AG132" s="6" t="n"/>
      <c r="AH132" s="6" t="n"/>
      <c r="AI132" s="6" t="n"/>
      <c r="AJ132" s="6" t="n"/>
      <c r="AK132" s="6" t="n"/>
      <c r="AL132" s="3" t="n">
        <v>500</v>
      </c>
    </row>
    <row r="133">
      <c r="A133" s="3" t="n">
        <v>44401</v>
      </c>
      <c r="B133" s="14" t="inlineStr">
        <is>
          <t>Bierhefe &amp; Chlorella 170g</t>
        </is>
      </c>
      <c r="C133" s="13" t="inlineStr">
        <is>
          <t>Ideales Aufbaupräparat nach Krankheit, bei Haarwechsel, für Welpen, Leistungshunde, trächtige und säugende Hündinnen sowie für Katzen. 
Bierhefe enthält die Vitamine B1, B2, B5, B6, PP, B12 und Biotin, viele Aminosäuren wie z.B. Isoleucin, Alanin, Glycin, Lysin, Tryptophan und Glutaminsäure, Mineralien (u.a. Phosphor, Kalcium, Kalium, Magnesium, Schwefel, Natrium, Eisen, Kupfer, Zink) sowie Cholin.
Chlorella enthält die Vitamine A, B, B12 und Beta-Carotin, viele Aminosäuren wie z.B. Leucin, Threonin und Valin, ungesättigte essentielle Fettsäuren sowie Mineralien (u.a. Zink, Eisen)
Keine chemischen Zugaben, nur natürliche Rohstoffe, keine Konservierungsmittel!
Die Beimischung von Bierhefe ist insbesondere in folgenden Fällen empfehlenswert:
Krankheiten, Operationen: Im Kampf gegen eine Krankheit muss der Körper auf seine Reserven zurückgreifen, wodurch es zu einem Nährstoffdefizit kommen kann.
Falsche Ernährung: Bei falscher Ernährung kommt es leicht zu einem Ungleichgewicht bzw. einer Unterversorgung an Nährstoffen.
Senioren: Bei älteren Tieren arbeitet der Darm bereits langsamer, wodurch die Nährstoffe nicht mehr in der gleichen Weise wie früher aus der Nahrung entnommen werden. Obwohl im Futter ausreichend Nährstoffe enthalten sind, kommt es zu einer Unterversorgung. Bierhefe kann dieses Defizit ausgleichen.</t>
        </is>
      </c>
      <c r="D133" s="6" t="inlineStr">
        <is>
          <t>in_stock</t>
        </is>
      </c>
      <c r="E133" s="6" t="n"/>
      <c r="F133" s="6" t="n"/>
      <c r="G133" s="11" t="inlineStr">
        <is>
          <t>https://www.fellkost.de/content/partners/466587/shop/shop/article/44401/bierhefe_chlorella_170g_1_stueck_?category=62194</t>
        </is>
      </c>
      <c r="H133" s="6" t="n"/>
      <c r="I133" s="13" t="inlineStr">
        <is>
          <t>https://www.fellkost.de/static/content/e18829/e18831/e18851/e18901/e43891/image_shop1/ger/Katze%20Hund%20Nahrungserg%C3%A4nzung%20Bierhefe%20%26%20Chlorella%20170g%20%201920%20x%201920_w480_h480_q90_jpg.jpg?checksum=4dfc3a1f7b54ff30a3ddaf1bca541b68d661e693</t>
        </is>
      </c>
      <c r="J133" s="7" t="n">
        <v>15.49</v>
      </c>
      <c r="K133" s="6" t="n"/>
      <c r="L133" s="6" t="n"/>
      <c r="M133" s="6" t="inlineStr">
        <is>
          <t>no</t>
        </is>
      </c>
      <c r="N133" s="6" t="n"/>
      <c r="O133" s="6" t="n"/>
      <c r="P133" s="6" t="inlineStr">
        <is>
          <t>ANIfit</t>
        </is>
      </c>
      <c r="Q133" s="13" t="n"/>
      <c r="R133" s="6" t="n"/>
      <c r="S133" s="6" t="n"/>
      <c r="T133" s="6" t="inlineStr">
        <is>
          <t>new</t>
        </is>
      </c>
      <c r="U133" s="6" t="inlineStr">
        <is>
          <t>no</t>
        </is>
      </c>
      <c r="V133" s="6" t="n"/>
      <c r="W133" s="6" t="n"/>
      <c r="X133" s="6" t="n"/>
      <c r="Y133" s="6" t="n"/>
      <c r="Z133" s="6" t="n"/>
      <c r="AA133" s="6" t="n"/>
      <c r="AB133" s="6" t="n"/>
      <c r="AC133" s="6" t="n"/>
      <c r="AD133" s="6" t="n"/>
      <c r="AE133" s="6" t="n"/>
      <c r="AF133" s="6" t="n"/>
      <c r="AG133" s="6" t="n"/>
      <c r="AH133" s="6" t="n"/>
      <c r="AI133" s="6" t="n"/>
      <c r="AJ133" s="6" t="n"/>
      <c r="AK133" s="6" t="n"/>
      <c r="AL133" s="3" t="n">
        <v>500</v>
      </c>
    </row>
    <row r="134">
      <c r="A134" s="3" t="n">
        <v>56537</v>
      </c>
      <c r="B134" s="14" t="inlineStr">
        <is>
          <t>Bewegung-Fit 80g</t>
        </is>
      </c>
      <c r="C134" s="13" t="inlineStr">
        <is>
          <t>Bewegung-Fit enthält:
Grünlippmuschelpulver
Weidenrinde
Brennesselblätter
Glucosaminsulfat1) 
Chondroitinsulfat2) 
Mangan
Selen 
1) gewonnen aus dem Panzer von Schalentieren2) gewonnen aus Rinderknorpeln
Die natürlichen Nährstoffe der neuseeländischen Grünlippmuschel enthalten Omega-3-Fettsäuren, Vitamin E und Glykosaminoglykan.
Bewegung-Fit weist einen hohen Gehalt an Grünlippmuschelpulver auf, das sich durch eine sehr hohe Dichte an Bionährstoffen, wie z. B. Glykosaminglykan, auszeichnet. Glykosaminglykane zählen zu der Gruppe der Aminozucker (Einfachzucker) und sind natürlicher Bestandteil der Synovia und des Knorpels.
Auch die weiteren Inhaltsstoffe wie Weidenrinde, Brennesselblätter, Glucosaminsulfat, Chondroitinsulfat, Mangan und Selen können dazu beitragen, die Ernährung Ihres Tieres zu ergänzen und damit die Mobilität und Aktivität der Tiere unterstützen.</t>
        </is>
      </c>
      <c r="D134" s="6" t="inlineStr">
        <is>
          <t>in_stock</t>
        </is>
      </c>
      <c r="E134" s="6" t="n"/>
      <c r="F134" s="6" t="n"/>
      <c r="G134" s="11" t="inlineStr">
        <is>
          <t>https://www.fellkost.de/content/partners/466587/shop/shop/article/56537/bewegung-fit_80g_1_stueck_?category=62194</t>
        </is>
      </c>
      <c r="H134" s="6" t="n"/>
      <c r="I134" s="13" t="inlineStr">
        <is>
          <t>https://www.fellkost.de/static/content/e18829/e18831/e18851/e18901/e53073/image_shop1/ger/Katze%20Hund%20Nahrungserg%C3%A4nzung%20Bewegung-Fit%2080g%20%201920%20x%201920_w480_h480_q90_jpg.jpg?checksum=fda4a871ac4ec9a806a987d6ecfd7bf380407690</t>
        </is>
      </c>
      <c r="J134" s="7" t="n">
        <v>16.49</v>
      </c>
      <c r="K134" s="6" t="n"/>
      <c r="L134" s="6" t="n"/>
      <c r="M134" s="6" t="inlineStr">
        <is>
          <t>no</t>
        </is>
      </c>
      <c r="N134" s="6" t="n"/>
      <c r="O134" s="6" t="n"/>
      <c r="P134" s="6" t="inlineStr">
        <is>
          <t>ANIfit</t>
        </is>
      </c>
      <c r="Q134" s="14" t="n"/>
      <c r="R134" s="6" t="n"/>
      <c r="S134" s="6" t="n"/>
      <c r="T134" s="6" t="inlineStr">
        <is>
          <t>new</t>
        </is>
      </c>
      <c r="U134" s="6" t="inlineStr">
        <is>
          <t>no</t>
        </is>
      </c>
      <c r="V134" s="6" t="n"/>
      <c r="W134" s="6" t="n"/>
      <c r="X134" s="6" t="n"/>
      <c r="Y134" s="6" t="n"/>
      <c r="Z134" s="6" t="n"/>
      <c r="AA134" s="6" t="n"/>
      <c r="AB134" s="6" t="n"/>
      <c r="AC134" s="6" t="n"/>
      <c r="AD134" s="6" t="n"/>
      <c r="AE134" s="6" t="n"/>
      <c r="AF134" s="6" t="n"/>
      <c r="AG134" s="6" t="n"/>
      <c r="AH134" s="6" t="n"/>
      <c r="AI134" s="6" t="n"/>
      <c r="AJ134" s="6" t="n"/>
      <c r="AK134" s="6" t="n"/>
      <c r="AL134" s="3" t="n">
        <v>500</v>
      </c>
    </row>
    <row r="135">
      <c r="A135" s="3" t="n">
        <v>11289</v>
      </c>
      <c r="B135" s="14" t="inlineStr">
        <is>
          <t>Fell-Fit 70g</t>
        </is>
      </c>
      <c r="C135" s="13" t="inlineStr">
        <is>
          <t>Viele Elemente tragen dazu bei, damit Hunde und Katzen ein gesundes, glänzendes Fell bekommen und erhalten. Wir haben die verschiedenen (natürlichen) Wirkstoffe in einem Produkt zusammenfasst:
Biotin (= Vitamin H bzw. B7)
Zink
Gefriergetrockneter Rotbarsch und Lachsöl mit hochwertigen Omega-3 Fettsäuren
Alge (fördert die Pigmentierung)
Bierhefe (fördert die Zellteilung)
Brennnesselblätter (entgiftend, Haarwuchs)
Löwenzahnblätter (entgiftend)
Birkenblätter (entgiftend)
Mariendistelsamen (entgiftend)
Holunderbeeren (entgiftend)
Vitamin B-Komplex
Die Kombination von Biotin und Zink liefert die wichtigsten Nährstoffe für ein gesundes, glänzendes Fell. Beide unterstützen ein gesundes, glänzendes Fell und vermindern vermeidbares, übermäßiges Haaren. Sie unterstützen die natürliche Zellregeneration und kräftigen Haut, Fell und Krallen.</t>
        </is>
      </c>
      <c r="D135" s="6" t="inlineStr">
        <is>
          <t>in_stock</t>
        </is>
      </c>
      <c r="E135" s="6" t="n"/>
      <c r="F135" s="6" t="n"/>
      <c r="G135" s="11" t="inlineStr">
        <is>
          <t>https://www.fellkost.de/content/partners/466587/shop/shop/article/11289/fell-fit_70g_1_stueck_?category=62194</t>
        </is>
      </c>
      <c r="H135" s="6" t="n"/>
      <c r="I135" s="13" t="inlineStr">
        <is>
          <t>https://www.fellkost.de/static/content/e18829/e18831/e18851/e18901/e18909/image_shop1/ger/Katze%20Hund%20Nahrungserg%C3%A4nzung%20Fell%20Fit%2070g%20%201920%20x%201920_w480_h480_q90_jpg.jpg?checksum=8c8b8d6bc34b523bb0aa80af7ea4fcf1deb7a659</t>
        </is>
      </c>
      <c r="J135" s="7" t="n">
        <v>6.99</v>
      </c>
      <c r="K135" s="6" t="n"/>
      <c r="L135" s="6" t="n"/>
      <c r="M135" s="6" t="inlineStr">
        <is>
          <t>no</t>
        </is>
      </c>
      <c r="N135" s="6" t="n"/>
      <c r="O135" s="6" t="n"/>
      <c r="P135" s="6" t="inlineStr">
        <is>
          <t>ANIfit</t>
        </is>
      </c>
      <c r="Q135" s="13" t="n"/>
      <c r="R135" s="6" t="n"/>
      <c r="S135" s="6" t="n"/>
      <c r="T135" s="6" t="inlineStr">
        <is>
          <t>new</t>
        </is>
      </c>
      <c r="U135" s="6" t="inlineStr">
        <is>
          <t>no</t>
        </is>
      </c>
      <c r="V135" s="6" t="n"/>
      <c r="W135" s="6" t="n"/>
      <c r="X135" s="6" t="n"/>
      <c r="Y135" s="6" t="n"/>
      <c r="Z135" s="6" t="n"/>
      <c r="AA135" s="6" t="n"/>
      <c r="AB135" s="6" t="n"/>
      <c r="AC135" s="6" t="n"/>
      <c r="AD135" s="6" t="n"/>
      <c r="AE135" s="6" t="n"/>
      <c r="AF135" s="6" t="n"/>
      <c r="AG135" s="6" t="n"/>
      <c r="AH135" s="6" t="n"/>
      <c r="AI135" s="6" t="n"/>
      <c r="AJ135" s="6" t="n"/>
      <c r="AK135" s="6" t="n"/>
      <c r="AL135" s="3" t="n">
        <v>500</v>
      </c>
    </row>
    <row r="136">
      <c r="A136" s="3" t="n">
        <v>302550</v>
      </c>
      <c r="B136" s="14" t="inlineStr">
        <is>
          <t>Leber &amp; Nieren Kur 80g</t>
        </is>
      </c>
      <c r="C136" s="13" t="inlineStr">
        <is>
          <t>Die Leber hat eine hohe Regenerationsfähigkeit, die Niere leider nicht. Beide Organe profitieren, wenn sie in ihrer Tätigkeit mit pflanzlichen (natürlichen) Vitalstoffen unterstützt werden.</t>
        </is>
      </c>
      <c r="D136" s="6" t="inlineStr">
        <is>
          <t>in_stock</t>
        </is>
      </c>
      <c r="E136" s="6" t="n"/>
      <c r="F136" s="6" t="n"/>
      <c r="G136" s="11" t="inlineStr">
        <is>
          <t>https://www.fellkost.de/content/partners/466587/shop/shop/article/302550/leber_nieren_kur_80g_1_stueck_?category=62194</t>
        </is>
      </c>
      <c r="H136" s="6" t="n"/>
      <c r="I136" s="13" t="inlineStr">
        <is>
          <t>https://www.fellkost.de/static/content/e18829/e18831/e18851/e18901/e124235/image_shop1/ger/Hund%20Katze%20Nahrungserg%C3%A4nzung%20Leber%20%26%20Nieren%20Kur%2080g%201920%20x%201920_w480_h480_q90_jpg.jpg?checksum=c84e10331c516fcbfab3ce217d152acf7504f9c5</t>
        </is>
      </c>
      <c r="J136" s="7" t="n">
        <v>12.29</v>
      </c>
      <c r="K136" s="6" t="n"/>
      <c r="L136" s="6" t="n"/>
      <c r="M136" s="6" t="inlineStr">
        <is>
          <t>no</t>
        </is>
      </c>
      <c r="N136" s="6" t="n"/>
      <c r="O136" s="6" t="n"/>
      <c r="P136" s="6" t="inlineStr">
        <is>
          <t>ANIfit</t>
        </is>
      </c>
      <c r="Q136" s="13" t="n"/>
      <c r="R136" s="6" t="n"/>
      <c r="S136" s="6" t="n"/>
      <c r="T136" s="6" t="inlineStr">
        <is>
          <t>new</t>
        </is>
      </c>
      <c r="U136" s="6" t="inlineStr">
        <is>
          <t>no</t>
        </is>
      </c>
      <c r="V136" s="6" t="n"/>
      <c r="W136" s="6" t="n"/>
      <c r="X136" s="6" t="n"/>
      <c r="Y136" s="6" t="n"/>
      <c r="Z136" s="6" t="n"/>
      <c r="AA136" s="6" t="n"/>
      <c r="AB136" s="6" t="n"/>
      <c r="AC136" s="6" t="n"/>
      <c r="AD136" s="6" t="n"/>
      <c r="AE136" s="6" t="n"/>
      <c r="AF136" s="6" t="n"/>
      <c r="AG136" s="6" t="n"/>
      <c r="AH136" s="6" t="n"/>
      <c r="AI136" s="6" t="n"/>
      <c r="AJ136" s="6" t="n"/>
      <c r="AK136" s="6" t="n"/>
      <c r="AL136" s="3" t="n">
        <v>500</v>
      </c>
    </row>
    <row r="137">
      <c r="A137" s="3" t="n">
        <v>46835</v>
      </c>
      <c r="B137" s="14" t="inlineStr">
        <is>
          <t>Enzym-Booster 80g</t>
        </is>
      </c>
      <c r="C137" s="13" t="inlineStr">
        <is>
          <t>Drei Enzyme sind für die Verdauung sehr wichtig:
Protease - Enzym für die Verdauung von Proteinen
Lipase - Enzym für Verdauung von Fett
Amylase - Enzym für die Verdauung von Kohlenhydraten
Diese Enzyme sind ein Teil des Bauchspeichels (Pankreassaft), die in der in der Bauchspeicheldrüse (Pankreas) produziert werden.
Hunde- und Katzen können sowohl an einer Entzündung der Bauchspeicheldrüse als auch einer Unterfunktion des Organs erkranken. In beiden Fällen werden nicht mehr ausreichend Verdauungsenzyme vom Körper hergestellt. Das Ergebnis ist, dass der Körper seine Nahrung nicht mehr aufspalten, sprich verwerten, kann und dadurch einen Nährstoffmangel erleidet. Auch ein Gewichtsverlust ist das Ergebnis eines Mangels an Verdauungsenzymen.
Mindestgehalt an enzymatischer Aktivität je gLipase: 38.000 EP UnitsAmylase: 32.500 EP UnitsProtease: 2.100 EP Units</t>
        </is>
      </c>
      <c r="D137" s="6" t="inlineStr">
        <is>
          <t>in_stock</t>
        </is>
      </c>
      <c r="E137" s="6" t="n"/>
      <c r="F137" s="6" t="n"/>
      <c r="G137" s="11" t="inlineStr">
        <is>
          <t>https://www.fellkost.de/content/partners/466587/shop/shop/article/46835/enzym-booster_80g_1_stueck_?category=62194</t>
        </is>
      </c>
      <c r="H137" s="6" t="n"/>
      <c r="I137" s="14" t="inlineStr">
        <is>
          <t>https://www.fellkost.de/static/content/e18829/e18831/e18851/e18901/e45654/image_shop1/ger/Hund%20%20Katze%20Nahrungserg%C3%A4nzung%20Enzym%20Booster%2080g%201920%20x%201920_w480_h480_q90_jpg.jpg?checksum=eb21085da47c6b16a9b5e3d9cf4edfc2b08d8a32</t>
        </is>
      </c>
      <c r="J137" s="7" t="n">
        <v>72.48999999999999</v>
      </c>
      <c r="K137" s="6" t="n"/>
      <c r="L137" s="6" t="n"/>
      <c r="M137" s="6" t="inlineStr">
        <is>
          <t>no</t>
        </is>
      </c>
      <c r="N137" s="6" t="n"/>
      <c r="O137" s="6" t="n"/>
      <c r="P137" s="6" t="inlineStr">
        <is>
          <t>ANIfit</t>
        </is>
      </c>
      <c r="Q137" s="13" t="n"/>
      <c r="R137" s="6" t="n"/>
      <c r="S137" s="6" t="n"/>
      <c r="T137" s="6" t="inlineStr">
        <is>
          <t>new</t>
        </is>
      </c>
      <c r="U137" s="6" t="inlineStr">
        <is>
          <t>no</t>
        </is>
      </c>
      <c r="V137" s="6" t="n"/>
      <c r="W137" s="6" t="n"/>
      <c r="X137" s="6" t="n"/>
      <c r="Y137" s="6" t="n"/>
      <c r="Z137" s="6" t="n"/>
      <c r="AA137" s="6" t="n"/>
      <c r="AB137" s="6" t="n"/>
      <c r="AC137" s="6" t="n"/>
      <c r="AD137" s="6" t="n"/>
      <c r="AE137" s="6" t="n"/>
      <c r="AF137" s="6" t="n"/>
      <c r="AG137" s="6" t="n"/>
      <c r="AH137" s="6" t="n"/>
      <c r="AI137" s="6" t="n"/>
      <c r="AJ137" s="6" t="n"/>
      <c r="AK137" s="6" t="n"/>
      <c r="AL137" s="3" t="n">
        <v>500</v>
      </c>
    </row>
    <row r="138">
      <c r="A138" s="3" t="n">
        <v>25996</v>
      </c>
      <c r="B138" s="14" t="inlineStr">
        <is>
          <t>Kräuter Wurm-ex - Wurmkur 140g</t>
        </is>
      </c>
      <c r="C138" s="13" t="inlineStr">
        <is>
          <t>Kräuter Wurm-ex unterstützt den Körper vorbeugend gegen lästigen Wurmbefall und bei akutem Befall.
• keine chemischen Zugaben
• nur natürliche Rohstoffe
• keine Konservierungsmittel
• 100 % Bio-Kräuter
Endoparasiten (Würmer) leben in jedem Hund und jeder Katze, denn das Tier dient ihnen als Zwischen- und Endwirt. Wird das Tier mit einer chemischen Entwurmung behandelt, gelangt eine große Menge an Toxinen in den Organismus, die dort gewaltigen Schaden anrichten können. Sie schädigen die Leber, die Darmflora und greifen das Immunsystem an. Durch häufige chemische Entwurmungen bilden sich Resistenzen gegen die Mittel, die dann ihre Wirkung verlieren.
Wie erkennt man Wurmbefall?
Typische Merkmale für Wurmbefall sind ein aufgeblähter Bauch, Mangelerscheinungen und ungewollter Gewichtsverlust trotz guten Appetits, Durchfall, Erbrechen, Verstopfung, Blähungen und sogenanntes „Po-Rutschen/Schlittenfahren“
Der Nachweis von Würmern ist über ein Labor möglich, bei dem mehrfache Kotproben eingereicht werden.
Anifit Tipp: Würmer sind bei Vollmond am aktivsten. Wir empfehlen, mit der Anwendung einen Tag vor Vollmond zu beginnen.</t>
        </is>
      </c>
      <c r="D138" s="6" t="inlineStr">
        <is>
          <t>in_stock</t>
        </is>
      </c>
      <c r="E138" s="6" t="n"/>
      <c r="F138" s="6" t="n"/>
      <c r="G138" s="11" t="inlineStr">
        <is>
          <t>https://www.fellkost.de/content/partners/466587/shop/shop/article/25996/kraeuter_wurm-ex_140g_1_stueck_?category=62194</t>
        </is>
      </c>
      <c r="H138" s="6" t="n"/>
      <c r="I138" s="14" t="inlineStr">
        <is>
          <t>https://www.fellkost.de/static/content/e18829/e18831/e18851/e18901/e29644/image_shop1/ger/Hund%20Katze%20Nahrungserg%C3%A4nzung%20Kr%C3%A4uter%20Wurm%20Ex%20140g%201920%20x%201920_w480_h480_q90_jpg.jpg?checksum=adf2ff17e462916c786438aa686b41bb1893817d</t>
        </is>
      </c>
      <c r="J138" s="7" t="n">
        <v>41.49</v>
      </c>
      <c r="K138" s="6" t="n"/>
      <c r="L138" s="6" t="n"/>
      <c r="M138" s="6" t="inlineStr">
        <is>
          <t>no</t>
        </is>
      </c>
      <c r="N138" s="6" t="n"/>
      <c r="O138" s="6" t="n"/>
      <c r="P138" s="6" t="inlineStr">
        <is>
          <t>ANIfit</t>
        </is>
      </c>
      <c r="Q138" s="13" t="n"/>
      <c r="R138" s="6" t="n"/>
      <c r="S138" s="6" t="n"/>
      <c r="T138" s="6" t="inlineStr">
        <is>
          <t>new</t>
        </is>
      </c>
      <c r="U138" s="6" t="inlineStr">
        <is>
          <t>no</t>
        </is>
      </c>
      <c r="V138" s="6" t="n"/>
      <c r="W138" s="6" t="n"/>
      <c r="X138" s="6" t="n"/>
      <c r="Y138" s="6" t="n"/>
      <c r="Z138" s="6" t="n"/>
      <c r="AA138" s="6" t="n"/>
      <c r="AB138" s="6" t="n"/>
      <c r="AC138" s="6" t="n"/>
      <c r="AD138" s="6" t="n"/>
      <c r="AE138" s="6" t="n"/>
      <c r="AF138" s="6" t="n"/>
      <c r="AG138" s="6" t="n"/>
      <c r="AH138" s="6" t="n"/>
      <c r="AI138" s="6" t="n"/>
      <c r="AJ138" s="6" t="n"/>
      <c r="AK138" s="6" t="n"/>
      <c r="AL138" s="3" t="n">
        <v>500</v>
      </c>
    </row>
    <row r="139">
      <c r="A139" s="3" t="n">
        <v>75771</v>
      </c>
      <c r="B139" s="14" t="inlineStr">
        <is>
          <t>Phosphatbinder 125g</t>
        </is>
      </c>
      <c r="C139" s="13" t="inlineStr">
        <is>
          <t>Mit einem Phosphatbinder kann das mit der Nahrung aufgenommene Phosphat im Magen-Darm-Trakt gebunden werden und dadurch die Resorption und Aufnahme in den Körper gehemmt werden. Das gebundene Phosphat wird mit dem Kot ausgeschieden.
Eine Reduktion des Phosphats wird bei Niereninsuffizienz und erhöhten Nierenwerten empfohlen.
Phosphatbinder kann auch präventiv bei Anzeichen oder Verdacht auf eine Nierenschwäche als Kur (1 - 2 Monate) angewendet werden.</t>
        </is>
      </c>
      <c r="D139" s="6" t="inlineStr">
        <is>
          <t>in_stock</t>
        </is>
      </c>
      <c r="E139" s="6" t="n"/>
      <c r="F139" s="6" t="n"/>
      <c r="G139" s="11" t="inlineStr">
        <is>
          <t>https://www.fellkost.de/content/partners/466587/shop/shop/article/75771/phosphatbinder_125g_1_stueck_?category=62194</t>
        </is>
      </c>
      <c r="H139" s="6" t="n"/>
      <c r="I139" s="14" t="inlineStr">
        <is>
          <t>https://www.fellkost.de/static/content/e18829/e18831/e18851/e18901/e66415/image_shop1/ger/Katze%20Hund%20Nahrungserg%C3%A4nzung%20Phosphatbinder%20125%20g%20%201920%20x%201920_w480_h480_q90_jpg.jpg?checksum=6ed0a86d6f80f6efbcfbc8ecf8f16eabca7f95c1</t>
        </is>
      </c>
      <c r="J139" s="7" t="n">
        <v>12.29</v>
      </c>
      <c r="K139" s="6" t="n"/>
      <c r="L139" s="6" t="n"/>
      <c r="M139" s="6" t="inlineStr">
        <is>
          <t>no</t>
        </is>
      </c>
      <c r="N139" s="6" t="n"/>
      <c r="O139" s="6" t="n"/>
      <c r="P139" s="6" t="inlineStr">
        <is>
          <t>ANIfit</t>
        </is>
      </c>
      <c r="Q139" s="13" t="n"/>
      <c r="R139" s="6" t="n"/>
      <c r="S139" s="6" t="n"/>
      <c r="T139" s="6" t="inlineStr">
        <is>
          <t>new</t>
        </is>
      </c>
      <c r="U139" s="6" t="inlineStr">
        <is>
          <t>no</t>
        </is>
      </c>
      <c r="V139" s="6" t="n"/>
      <c r="W139" s="6" t="n"/>
      <c r="X139" s="6" t="n"/>
      <c r="Y139" s="6" t="n"/>
      <c r="Z139" s="6" t="n"/>
      <c r="AA139" s="6" t="n"/>
      <c r="AB139" s="6" t="n"/>
      <c r="AC139" s="6" t="n"/>
      <c r="AD139" s="6" t="n"/>
      <c r="AE139" s="6" t="n"/>
      <c r="AF139" s="6" t="n"/>
      <c r="AG139" s="6" t="n"/>
      <c r="AH139" s="6" t="n"/>
      <c r="AI139" s="6" t="n"/>
      <c r="AJ139" s="6" t="n"/>
      <c r="AK139" s="6" t="n"/>
      <c r="AL139" s="3" t="n">
        <v>500</v>
      </c>
    </row>
    <row r="140">
      <c r="A140" s="3" t="n">
        <v>61430</v>
      </c>
      <c r="B140" s="14" t="inlineStr">
        <is>
          <t>Blase-Fit 150g</t>
        </is>
      </c>
      <c r="C140" s="13" t="inlineStr">
        <is>
          <t>Durch das Harnsystem wird der in den Nieren gebildete Harn in die Blase geführt und dann durch die Harnröhre nach außen abgeleitet. Die Blase selbst ist ein stark dehnungsfähiges, wasserdichtes Auffangorgan, in dem der Urin zwischen den Entleerungen gesammelt wird. Ein Schließmuskel an der Verbindungsstelle zwischen Harnröhre und Blase sorgt dabei für die Rückhaltung des Harns.
Bei der Steuerung des Harnsystems und insbesondere bei der kontrollierten Wasserausscheidung sind zahlreiche Hormone beteiligt. Mit zunehmendem Alter der Tiere verändert sich jedoch auch der Hormonhaushalt, was dazu führen kann, dass der Schließmuskel seine Aufgabe nicht mehr optimal erfüllen kann.
Die Folge kann sein, dass die Tiere Harn verlieren, ohne dass sie es selbst bemerken oder beabsichtigen. Zwar finden sich die meisten Berichte über Blasenschwäche bei älteren, kastrierten Hündinnen, jedoch können davon auch nicht kastrierte Tiere betroffen sein.
Unser Produkt „Blase-Fit“ dient mit seinen Bio-Kräutern zur Unterstützung der Harnwegsfunktion.
Altersbedingte Blasenschwäche oder Inkontinenz darf nicht mit absichtlichen oder unbewussten Unreinheiten verwechselt werden. Ein derartiges Verhalten lässt sich tendenziell öfter bei Katzen beobachten, die an ungewöhnlichen Stellen Urin absetzen. Diese Fälle können eine Reaktion auf ungewünschte Veränderungen in der Umgebung oder emotionale Belastungen sein.
Da die Gründe für eine Blasenschwäche oder Inkontinenz sehr unterschiedlich sein können, empfiehlt sich eine Abklärung mit dem Tierarzt, wenn man den Eindruck gewinnt, dass dieses Verhalten nicht nur vorübergehend ist bzw. sich durch unterstützende pflanzliche Mittel nicht von selbst auflöst.
Mit einem Mix aus Kräutern (100 % Bio-Qualität) bietet Blase-Fit eine Möglichkeit, Ernährungsimbalanzen auszugleichen und kann den Körper bei seiner Eigenregulierung unterstützen.
Zertifizierungen
Unser Unternehmen (Provital GmbH) ist BIO-zertifiziert durch die BCS Öko-Garantie GmbH (DE-ÖKO-001) und ISO-9001-zertifiziert durch die TÜV SÜD Management Service GmbH.</t>
        </is>
      </c>
      <c r="D140" s="6" t="inlineStr">
        <is>
          <t>in_stock</t>
        </is>
      </c>
      <c r="E140" s="6" t="n"/>
      <c r="F140" s="6" t="n"/>
      <c r="G140" s="11" t="inlineStr">
        <is>
          <t>https://www.fellkost.de/content/partners/466587/shop/shop/article/61430/blase-fit_150g_1_stueck_?category=62194</t>
        </is>
      </c>
      <c r="H140" s="6" t="n"/>
      <c r="I140" s="13" t="inlineStr">
        <is>
          <t>https://www.fellkost.de/static/content/e18829/e18831/e18851/e18901/e55416/image_shop1/ger/PRO%20Blase-Fit_w480_h480_q90_jpg.jpg?checksum=f75606ea5372711cea2d74d43fd47f0ca7fedec4</t>
        </is>
      </c>
      <c r="J140" s="7" t="n">
        <v>39.5</v>
      </c>
      <c r="K140" s="6" t="n"/>
      <c r="L140" s="6" t="n"/>
      <c r="M140" s="6" t="inlineStr">
        <is>
          <t>no</t>
        </is>
      </c>
      <c r="N140" s="6" t="n"/>
      <c r="O140" s="6" t="n"/>
      <c r="P140" s="6" t="inlineStr">
        <is>
          <t>ANIfit</t>
        </is>
      </c>
      <c r="Q140" s="14" t="n"/>
      <c r="R140" s="6" t="n"/>
      <c r="S140" s="6" t="n"/>
      <c r="T140" s="6" t="inlineStr">
        <is>
          <t>new</t>
        </is>
      </c>
      <c r="U140" s="6" t="inlineStr">
        <is>
          <t>no</t>
        </is>
      </c>
      <c r="V140" s="6" t="n"/>
      <c r="W140" s="6" t="n"/>
      <c r="X140" s="6" t="n"/>
      <c r="Y140" s="6" t="n"/>
      <c r="Z140" s="6" t="n"/>
      <c r="AA140" s="6" t="n"/>
      <c r="AB140" s="6" t="n"/>
      <c r="AC140" s="6" t="n"/>
      <c r="AD140" s="6" t="n"/>
      <c r="AE140" s="6" t="n"/>
      <c r="AF140" s="6" t="n"/>
      <c r="AG140" s="6" t="n"/>
      <c r="AH140" s="6" t="n"/>
      <c r="AI140" s="6" t="n"/>
      <c r="AJ140" s="6" t="n"/>
      <c r="AK140" s="6" t="n"/>
      <c r="AL140" s="3" t="n">
        <v>500</v>
      </c>
    </row>
    <row r="141">
      <c r="A141" s="3" t="n">
        <v>11285</v>
      </c>
      <c r="B141" s="14" t="inlineStr">
        <is>
          <t>Augenrein 75g</t>
        </is>
      </c>
      <c r="C141" s="13" t="inlineStr">
        <is>
          <t>Nicht alle Hunde haben Probleme mit Verfärbungen durch die Tränenflüssigkeit, bei dunklem Fell ist es meist auch nicht sichtbar.
Unglücklicherweise sind gerade die hübschen weißen Hunde mit einem flauschigen Fell am meisten betroffen.
Die Verfärbung entsteht durch ein Ungleichgewicht in der Darmflora mit einer daraus resultierenden Abweichung von den normalen pH- und Säurewerten. Einige Abweichungen entstehen durch falsche Ernährung, manche aber auch infolge genetischer Veranlagung.
Die Flecken sind das Ergebnis von Bakterien, die sich in diesem Milieu entwickeln und durch den Speichel auf das Fell des Hundes gelangen.
Eine Mischung aus Kräutern hat exakt die richtige Wirkung, um dem Tier zu helfen. Die Heilkräfte dieser Pflanzen wirken auf den pH-Wert der Körperflüssigkeiten und haben zusätzlich eine entzündungshemmende Wirkung.
Die Unterstützung und Stärkung des Immunsystems führt zum gewünschten Ergebnis.
ohne Zusätze
ohne Antibiotika,
ohne Füllstoffe,
ohne Konservierungsmittel
Anifit Augenrein ist eine reine Mischung aus Kräutern ohne weitere Zugaben. NATUR PUR!
Die Ergebnisse sind nach ein bis zwei Monaten sichtbar. Neue Bakterien entstehen nicht mehr und die alten, verfärbten Haare können gereinigt bzw. abgeschnitten werden oder wachsen sich innerhalb von vier Wochen auch von selbst aus.
Voraussetzung
Fütterung einer Nassnahrung ohne Konservierungsmittel- und Geschmacksverstärker.</t>
        </is>
      </c>
      <c r="D141" s="6" t="inlineStr">
        <is>
          <t>in_stock</t>
        </is>
      </c>
      <c r="E141" s="6" t="n"/>
      <c r="F141" s="6" t="n"/>
      <c r="G141" s="11" t="inlineStr">
        <is>
          <t>https://www.fellkost.de/content/partners/466587/shop/shop/article/11285/augenrein_75g_1_stueck_?category=62194</t>
        </is>
      </c>
      <c r="H141" s="6" t="n"/>
      <c r="I141" s="13" t="inlineStr">
        <is>
          <t>https://www.fellkost.de/static/content/e18829/e18831/e18851/e18901/e18905/image_shop1/ger/Hunde%20Katzen%20Nahrungserg%C3%A4nzung%20Augenrein%2075%20g%20%201920%20x%201920_w480_h480_q90_jpg.jpg?checksum=44d9169581a270d4c44f94bbbda84cd97484b584</t>
        </is>
      </c>
      <c r="J141" s="7" t="n">
        <v>25.99</v>
      </c>
      <c r="K141" s="6" t="n"/>
      <c r="L141" s="6" t="n"/>
      <c r="M141" s="6" t="inlineStr">
        <is>
          <t>no</t>
        </is>
      </c>
      <c r="N141" s="6" t="n"/>
      <c r="O141" s="6" t="n"/>
      <c r="P141" s="6" t="inlineStr">
        <is>
          <t>ANIfit</t>
        </is>
      </c>
      <c r="Q141" s="13" t="n"/>
      <c r="R141" s="6" t="n"/>
      <c r="S141" s="6" t="n"/>
      <c r="T141" s="6" t="inlineStr">
        <is>
          <t>new</t>
        </is>
      </c>
      <c r="U141" s="6" t="inlineStr">
        <is>
          <t>no</t>
        </is>
      </c>
      <c r="V141" s="6" t="n"/>
      <c r="W141" s="6" t="n"/>
      <c r="X141" s="6" t="n"/>
      <c r="Y141" s="6" t="n"/>
      <c r="Z141" s="6" t="n"/>
      <c r="AA141" s="6" t="n"/>
      <c r="AB141" s="6" t="n"/>
      <c r="AC141" s="6" t="n"/>
      <c r="AD141" s="6" t="n"/>
      <c r="AE141" s="6" t="n"/>
      <c r="AF141" s="6" t="n"/>
      <c r="AG141" s="6" t="n"/>
      <c r="AH141" s="6" t="n"/>
      <c r="AI141" s="6" t="n"/>
      <c r="AJ141" s="6" t="n"/>
      <c r="AK141" s="6" t="n"/>
      <c r="AL141" s="3" t="n">
        <v>500</v>
      </c>
    </row>
    <row r="142">
      <c r="A142" s="3" t="n">
        <v>47260</v>
      </c>
      <c r="B142" s="14" t="inlineStr">
        <is>
          <t>Pro Dentax 60g</t>
        </is>
      </c>
      <c r="C142" s="13" t="inlineStr">
        <is>
          <t>Die wesentlichste Maßnahme zur Vermeidung von Zahnstein ist eine artgerechte, naturbelassene Nahrung, die es dem Körper ermöglicht, sein natürliches Gleichgewicht zu finden. Die Zusammensetzung des Speichels hat eine wesentliche Auswirkung auf die Anfälligkeit zu Zahnstein.
Unabhängig davon können aber auch erbliche Veranlagungen und eine unregelmäßige Zahnstellung Gründe für Zahnstein sein.</t>
        </is>
      </c>
      <c r="D142" s="6" t="inlineStr">
        <is>
          <t>in_stock</t>
        </is>
      </c>
      <c r="E142" s="6" t="n"/>
      <c r="F142" s="6" t="n"/>
      <c r="G142" s="11" t="inlineStr">
        <is>
          <t>https://www.fellkost.de/content/partners/466587/shop/shop/article/47260/pro_dentax_60g_1_stueck_?category=62194</t>
        </is>
      </c>
      <c r="H142" s="6" t="n"/>
      <c r="I142" s="13" t="inlineStr">
        <is>
          <t>https://www.fellkost.de/static/content/e18829/e18831/e18851/e18901/e45946/image_shop1/ger/Hund%20Katze%20Nahrungserg%C3%A4nzung%20Pro%20Dentax%2060g%201920%20x%201920_w480_h480_q90_jpg.jpg?checksum=894e94cb28d0eb73481da5ad94525ece04753e61</t>
        </is>
      </c>
      <c r="J142" s="7" t="n">
        <v>6.89</v>
      </c>
      <c r="K142" s="6" t="n"/>
      <c r="L142" s="6" t="n"/>
      <c r="M142" s="6" t="inlineStr">
        <is>
          <t>no</t>
        </is>
      </c>
      <c r="N142" s="6" t="n"/>
      <c r="O142" s="6" t="n"/>
      <c r="P142" s="6" t="inlineStr">
        <is>
          <t>ANIfit</t>
        </is>
      </c>
      <c r="Q142" s="13" t="n"/>
      <c r="R142" s="6" t="n"/>
      <c r="S142" s="6" t="n"/>
      <c r="T142" s="6" t="inlineStr">
        <is>
          <t>new</t>
        </is>
      </c>
      <c r="U142" s="6" t="inlineStr">
        <is>
          <t>no</t>
        </is>
      </c>
      <c r="V142" s="6" t="n"/>
      <c r="W142" s="6" t="n"/>
      <c r="X142" s="6" t="n"/>
      <c r="Y142" s="6" t="n"/>
      <c r="Z142" s="6" t="n"/>
      <c r="AA142" s="6" t="n"/>
      <c r="AB142" s="6" t="n"/>
      <c r="AC142" s="6" t="n"/>
      <c r="AD142" s="6" t="n"/>
      <c r="AE142" s="6" t="n"/>
      <c r="AF142" s="6" t="n"/>
      <c r="AG142" s="6" t="n"/>
      <c r="AH142" s="6" t="n"/>
      <c r="AI142" s="6" t="n"/>
      <c r="AJ142" s="6" t="n"/>
      <c r="AK142" s="6" t="n"/>
      <c r="AL142" s="3" t="n">
        <v>500</v>
      </c>
    </row>
    <row r="143">
      <c r="A143" s="3" t="n">
        <v>35133</v>
      </c>
      <c r="B143" s="14" t="inlineStr">
        <is>
          <t>Pro Fellpflege 500ml</t>
        </is>
      </c>
      <c r="C143" s="13" t="inlineStr">
        <is>
          <t>Die effektiven Mikroorganismen der PRO-Fellpflege verdrängen problematische Keime und schaffen ein natürliches, positives Milieu. Sie besiedeln alle Flächen und lassen keinen Raum für negative Keime. PRO-Fellpflege kann auch zur Reinigung von Kratzbäumen, Käfigen, Kuscheldecken, Hundedecken und sonstigen Einrichtungsgegen-ständen verwendet werden.
Für empfindliche Tiere geeignet
100 % natürliche Rohstoffe
Frei von künstlichen Farb- oder Lockstoffen, Aromen, Konservierungsstoffen, Alkohol und Formaldehyd
Haltbarkeit
Nach Öffnen der Flasche innerhalb von sechs Monaten verbrauchen.
Bei starken Geruchsveränderungen nicht mehr verwenden. PRO-Fellpflege hat einen süßsauren Eigengeruch.
Hinweise
Bei weißem Fell kann es durch minimale Anteile an Zuckerrohrmelasse im Produkt zu einer leicht gelblichen Verfärbung des Fells kommen. Das ist völlig unbedenklich.
 Kühl und dunkel lagern. Nicht zur Einnahme bestimmt, für Kinder unerreichbar aufbewahren. Kontakt mit Schleimhaut und Augen vermeiden.
Zertifizierungen
Unser Unternehmen (Provital GmbH) ist BIO-zertifiziert durch die BCS ÖKO Garantie GmbH (DE-ÖKO-001) und ISO-9001-zertifiziert durch die TÜV Süd Management Service GmbH.</t>
        </is>
      </c>
      <c r="D143" s="6" t="inlineStr">
        <is>
          <t>in_stock</t>
        </is>
      </c>
      <c r="E143" s="6" t="n"/>
      <c r="F143" s="6" t="n"/>
      <c r="G143" s="11" t="inlineStr">
        <is>
          <t>https://www.fellkost.de/content/partners/466587/shop/shop/article/35133/pro_fellpflege_500ml_1_stueck_?category=62194</t>
        </is>
      </c>
      <c r="H143" s="6" t="n"/>
      <c r="I143" s="14" t="inlineStr">
        <is>
          <t>https://www.fellkost.de/static/content/e18829/e18831/e18851/e18901/e36581/image_shop1/ger/Hund%20Katze%20Nahrungserg%C3%A4nzung%20Fellpflege%20500ml%20%201920%20x%201920_w480_h480_q90_jpg.jpg?checksum=c1ee0510cd60b5e1804f56b67213c96c3afee1c3</t>
        </is>
      </c>
      <c r="J143" s="7" t="n">
        <v>9.390000000000001</v>
      </c>
      <c r="K143" s="6" t="n"/>
      <c r="L143" s="6" t="n"/>
      <c r="M143" s="6" t="inlineStr">
        <is>
          <t>no</t>
        </is>
      </c>
      <c r="N143" s="6" t="n"/>
      <c r="O143" s="6" t="n"/>
      <c r="P143" s="6" t="inlineStr">
        <is>
          <t>ANIfit</t>
        </is>
      </c>
      <c r="Q143" s="13" t="n"/>
      <c r="R143" s="6" t="n"/>
      <c r="S143" s="6" t="n"/>
      <c r="T143" s="6" t="inlineStr">
        <is>
          <t>new</t>
        </is>
      </c>
      <c r="U143" s="6" t="inlineStr">
        <is>
          <t>no</t>
        </is>
      </c>
      <c r="V143" s="6" t="n"/>
      <c r="W143" s="6" t="n"/>
      <c r="X143" s="6" t="n"/>
      <c r="Y143" s="6" t="n"/>
      <c r="Z143" s="6" t="n"/>
      <c r="AA143" s="6" t="n"/>
      <c r="AB143" s="6" t="n"/>
      <c r="AC143" s="6" t="n"/>
      <c r="AD143" s="6" t="n"/>
      <c r="AE143" s="6" t="n"/>
      <c r="AF143" s="6" t="n"/>
      <c r="AG143" s="6" t="n"/>
      <c r="AH143" s="6" t="n"/>
      <c r="AI143" s="6" t="n"/>
      <c r="AJ143" s="6" t="n"/>
      <c r="AK143" s="6" t="n"/>
      <c r="AL143" s="3" t="n">
        <v>500</v>
      </c>
    </row>
    <row r="144">
      <c r="A144" s="3" t="n">
        <v>11284</v>
      </c>
      <c r="B144" s="14" t="inlineStr">
        <is>
          <t>Pfotenbalsam 100ml</t>
        </is>
      </c>
      <c r="C144" s="13" t="inlineStr">
        <is>
          <t>Anifit Pfotenbalsam wirkt hier gleich auf zweierlei Weise:
Eine feine Schutzschicht, gebildet vom weichen Anifit Pfotenbalsam, verhindert, dass die empfindliche Pfote zu sehr unter den harten Bedingungen des Winters leidet. Gerade Schnee, Salz oder Split sammeln sich häufig zwischen den Ballenzwischenräumen an und verursachen Scheuerstellen, die sich entzünden können.
Die Pfote wird mit wirksamen Nährstoffen versorgt, so dass sie ausreichend feucht gehalten wird und sich rasch regenerieren kann. Die Haut reißt nicht ein und trocknet nicht aus. Strapazierte Stellen werden sorgsam versorgt.
mit Bienenwachs und Propolis
rein natürliche Nährstoffe
ohne Farbstoffe
ohne Konservierungsstoffe.
Arzneimittelqualität</t>
        </is>
      </c>
      <c r="D144" s="6" t="inlineStr">
        <is>
          <t>in_stock</t>
        </is>
      </c>
      <c r="E144" s="6" t="n"/>
      <c r="F144" s="6" t="n"/>
      <c r="G144" s="11" t="inlineStr">
        <is>
          <t>https://www.fellkost.de/content/partners/466587/shop/shop/article/11284/pfotenbalsam_100_ml_1_stueck_?category=62194</t>
        </is>
      </c>
      <c r="H144" s="6" t="n"/>
      <c r="I144" s="13" t="inlineStr">
        <is>
          <t>https://www.fellkost.de/static/content/e18829/e18831/e18851/e18901/e18904/image_shop1/ger/Hund%20Katze%20Pfotenbalsam%20100%20ml%201920%20x%201920_w480_h480_q90_jpg.jpg?checksum=1a87e9c9c53d421e1d6dffdf3bbda08c3c9073ab</t>
        </is>
      </c>
      <c r="J144" s="7" t="n">
        <v>18.99</v>
      </c>
      <c r="K144" s="6" t="n"/>
      <c r="L144" s="6" t="n"/>
      <c r="M144" s="6" t="inlineStr">
        <is>
          <t>no</t>
        </is>
      </c>
      <c r="N144" s="6" t="n"/>
      <c r="O144" s="6" t="n"/>
      <c r="P144" s="6" t="inlineStr">
        <is>
          <t>ANIfit</t>
        </is>
      </c>
      <c r="Q144" s="13" t="n"/>
      <c r="R144" s="6" t="n"/>
      <c r="S144" s="6" t="n"/>
      <c r="T144" s="6" t="inlineStr">
        <is>
          <t>new</t>
        </is>
      </c>
      <c r="U144" s="6" t="inlineStr">
        <is>
          <t>no</t>
        </is>
      </c>
      <c r="V144" s="6" t="n"/>
      <c r="W144" s="6" t="n"/>
      <c r="X144" s="6" t="n"/>
      <c r="Y144" s="6" t="n"/>
      <c r="Z144" s="6" t="n"/>
      <c r="AA144" s="6" t="n"/>
      <c r="AB144" s="6" t="n"/>
      <c r="AC144" s="6" t="n"/>
      <c r="AD144" s="6" t="n"/>
      <c r="AE144" s="6" t="n"/>
      <c r="AF144" s="6" t="n"/>
      <c r="AG144" s="6" t="n"/>
      <c r="AH144" s="6" t="n"/>
      <c r="AI144" s="6" t="n"/>
      <c r="AJ144" s="6" t="n"/>
      <c r="AK144" s="6" t="n"/>
      <c r="AL144" s="3" t="n">
        <v>500</v>
      </c>
    </row>
    <row r="145">
      <c r="A145" s="3" t="n">
        <v>11317</v>
      </c>
      <c r="B145" s="14" t="inlineStr">
        <is>
          <t>Floh- u. Zeckenschutz für Hunde &amp; Katzen - ohne Chemie - natürlich 30ml</t>
        </is>
      </c>
      <c r="C145" s="13" t="inlineStr">
        <is>
          <t>Ab Temperaturen von über 10 Grad Celsius werden Zecken aktiv. Hunde, die durch Wald und Wiese stromern, fangen sich mit hoher Wahrscheinlichkeit die kleinen Blutsauger ein. Ein Biss ist dabei nicht nur lästig und verursacht heftigen Juckreiz, sondern kann unter Umständen auch gefährlich sein, da Zecken Krankheiten wie Borreliose, Ehrlichiose, Babesiose oder FSME übertragen können.
Viele Hundebesitzer, die bereits die Vorteile der chemiefreien, zusatzstofffreien und gesunden Ernährung erkannt haben, möchten auch im Zeckenschutz auf natürliche Mittel und nicht auf chemische Präparate zurückgreifen.
Chemische Präparate lagern Giftstoffe gegen Zecken im Gewebe des Tieres ein. Dies bietet einen wochenlangen Schutz vor Zecken, die Giftstoffe irritieren jedoch nachhaltig das Immunsystem des Körpers. In vielen Fällen darf das Präparat nicht vom Menschen berührt werden.
Anifit bietet mit seinem Floh- und Zeckenschutz ein natürliches Schutzschild, der bei konsequenter Anwendung Zeckenbefall in der Regel vermeidet bzw. deutlich reduziert und Flöhe abwehrt. Die tägliche Kontrolle des Tieres nach einem Spaziergang in der Natur ist zwar weiterhin notwendig, erspart Ihrem vierbeinigen Liebling dafür aber die möglichen Nebenwirkungen von Giftstoffen.</t>
        </is>
      </c>
      <c r="D145" s="6" t="inlineStr">
        <is>
          <t>in_stock</t>
        </is>
      </c>
      <c r="E145" s="6" t="n"/>
      <c r="F145" s="6" t="n"/>
      <c r="G145" s="11" t="inlineStr">
        <is>
          <t>https://www.fellkost.de/content/partners/466587/shop/shop/article/11317/floh-_u_zeckenschutz_30ml_1_stueck_?category=62194</t>
        </is>
      </c>
      <c r="H145" s="6" t="n"/>
      <c r="I145" s="13" t="inlineStr">
        <is>
          <t>https://www.fellkost.de/static/content/e18829/e18831/e18851/e18901/e18937/image_shop1/ger/Hund%20Katze%20Floh-%20%26%20Zeckenschutz%2030%20ml%201920%20x%201920_w480_h480_q90_jpg.jpg?checksum=28d08f39e46024ad02bcfc51e6418608feec2dfb</t>
        </is>
      </c>
      <c r="J145" s="7" t="n">
        <v>9.890000000000001</v>
      </c>
      <c r="K145" s="6" t="n"/>
      <c r="L145" s="6" t="n"/>
      <c r="M145" s="6" t="inlineStr">
        <is>
          <t>no</t>
        </is>
      </c>
      <c r="N145" s="6" t="n"/>
      <c r="O145" s="6" t="n"/>
      <c r="P145" s="6" t="inlineStr">
        <is>
          <t>ANIfit</t>
        </is>
      </c>
      <c r="Q145" s="13" t="n"/>
      <c r="R145" s="6" t="n"/>
      <c r="S145" s="6" t="n"/>
      <c r="T145" s="6" t="inlineStr">
        <is>
          <t>new</t>
        </is>
      </c>
      <c r="U145" s="6" t="inlineStr">
        <is>
          <t>no</t>
        </is>
      </c>
      <c r="V145" s="6" t="n"/>
      <c r="W145" s="6" t="n"/>
      <c r="X145" s="6" t="n"/>
      <c r="Y145" s="6" t="n"/>
      <c r="Z145" s="6" t="n"/>
      <c r="AA145" s="6" t="n"/>
      <c r="AB145" s="6" t="n"/>
      <c r="AC145" s="6" t="n"/>
      <c r="AD145" s="6" t="n"/>
      <c r="AE145" s="6" t="n"/>
      <c r="AF145" s="6" t="n"/>
      <c r="AG145" s="6" t="n"/>
      <c r="AH145" s="6" t="n"/>
      <c r="AI145" s="6" t="n"/>
      <c r="AJ145" s="6" t="n"/>
      <c r="AK145" s="6" t="n"/>
      <c r="AL145" s="3" t="n">
        <v>500</v>
      </c>
    </row>
    <row r="146">
      <c r="A146" s="3" t="n">
        <v>11321</v>
      </c>
      <c r="B146" s="14" t="inlineStr">
        <is>
          <t>Floh- u. Zeckenschutz für Hunde &amp; Katzen - ohne Chemie - natürlich 100ml + 30ml</t>
        </is>
      </c>
      <c r="C146" s="13" t="inlineStr">
        <is>
          <t>Ab Temperaturen von über 10 Grad Celsius werden Zecken aktiv. Hunde, die durch Wald und Wiese stromern, fangen sich mit hoher Wahrscheinlichkeit die kleinen Blutsauger ein. Ein Biss ist dabei nicht nur lästig und verursacht heftigen Juckreiz, sondern kann unter Umständen auch gefährlich sein, da Zecken Krankheiten wie Borreliose, Ehrlichiose, Babesiose oder FSME übertragen können.
Viele Hundebesitzer, die bereits die Vorteile der chemiefreien, zusatzstofffreien und gesunden Ernährung erkannt haben, möchten auch im Zeckenschutz auf natürliche Mittel und nicht auf chemische Präparate zurückgreifen.
Chemische Präparate lagern Giftstoffe gegen Zecken im Gewebe des Tieres ein. Dies bietet einen wochenlangen Schutz vor Zecken, die Giftstoffe irritieren jedoch nachhaltig das Immunsystem des Körpers. In vielen Fällen darf das Präparat nicht vom Menschen berührt werden.
Anifit bietet mit seinem Floh- und Zeckenschutz ein natürliches Schutzschild, der bei konsequenter Anwendung Zeckenbefall in der Regel vermeidet bzw. deutlich reduziert und Flöhe abwehrt. Die tägliche Kontrolle des Tieres nach einem Spaziergang in der Natur ist zwar weiterhin notwendig, erspart Ihrem vierbeinigen Liebling dafür aber die möglichen Nebenwirkungen von Giftstoffen.</t>
        </is>
      </c>
      <c r="D146" s="6" t="inlineStr">
        <is>
          <t>in_stock</t>
        </is>
      </c>
      <c r="E146" s="6" t="n"/>
      <c r="F146" s="6" t="n"/>
      <c r="G146" s="11" t="inlineStr">
        <is>
          <t>https://www.fellkost.de/content/partners/466587/shop/shop/article/11321/floh-_u_zeckenschutz_set_100_30ml_1_stueck_</t>
        </is>
      </c>
      <c r="H146" s="6" t="n"/>
      <c r="I146" s="13" t="inlineStr">
        <is>
          <t>https://www.fellkost.de/static/content/e18829/e18831/e18851/e18901/e18940/image_shop1/ger/Hund%20Katze%20Floh-%20%26%20Zeckenschutz%20Set%201920%20x%201920_w480_h480_q90_jpg.jpg?checksum=387a199093ba19cee7454aa1f4197f0112452a19</t>
        </is>
      </c>
      <c r="J146" s="7" t="n">
        <v>30.1</v>
      </c>
      <c r="K146" s="6" t="n"/>
      <c r="L146" s="6" t="n"/>
      <c r="M146" s="6" t="inlineStr">
        <is>
          <t>no</t>
        </is>
      </c>
      <c r="N146" s="6" t="n"/>
      <c r="O146" s="6" t="n"/>
      <c r="P146" s="6" t="inlineStr">
        <is>
          <t>ANIfit</t>
        </is>
      </c>
      <c r="Q146" s="13" t="n"/>
      <c r="R146" s="6" t="n"/>
      <c r="S146" s="6" t="n"/>
      <c r="T146" s="6" t="inlineStr">
        <is>
          <t>new</t>
        </is>
      </c>
      <c r="U146" s="6" t="inlineStr">
        <is>
          <t>no</t>
        </is>
      </c>
      <c r="V146" s="6" t="n"/>
      <c r="W146" s="6" t="n"/>
      <c r="X146" s="6" t="n"/>
      <c r="Y146" s="6" t="n"/>
      <c r="Z146" s="6" t="n"/>
      <c r="AA146" s="6" t="n"/>
      <c r="AB146" s="6" t="n"/>
      <c r="AC146" s="6" t="n"/>
      <c r="AD146" s="6" t="n"/>
      <c r="AE146" s="6" t="n"/>
      <c r="AF146" s="6" t="n"/>
      <c r="AG146" s="6" t="n"/>
      <c r="AH146" s="6" t="n"/>
      <c r="AI146" s="6" t="n"/>
      <c r="AJ146" s="6" t="n"/>
      <c r="AK146" s="6" t="n"/>
      <c r="AL146" s="3" t="n">
        <v>500</v>
      </c>
    </row>
    <row r="147">
      <c r="A147" s="3" t="n">
        <v>11318</v>
      </c>
      <c r="B147" s="14" t="inlineStr">
        <is>
          <t>Floh- u. Zeckenschutz für Hunde &amp; Katzen - ohne Chemie - natürlich 100ml + 30ml</t>
        </is>
      </c>
      <c r="C147" s="13" t="inlineStr">
        <is>
          <t>Ab Temperaturen von über 10 Grad Celsius werden Zecken aktiv. Hunde, die durch Wald und Wiese stromern, fangen sich mit hoher Wahrscheinlichkeit die kleinen Blutsauger ein. Ein Biss ist dabei nicht nur lästig und verursacht heftigen Juckreiz, sondern kann unter Umständen auch gefährlich sein, da Zecken Krankheiten wie Borreliose, Ehrlichiose, Babesiose oder FSME übertragen können.
Viele Hundebesitzer, die bereits die Vorteile der chemiefreien, zusatzstofffreien und gesunden Ernährung erkannt haben, möchten auch im Zeckenschutz auf natürliche Mittel und nicht auf chemische Präparate zurückgreifen.
Chemische Präparate lagern Giftstoffe gegen Zecken im Gewebe des Tieres ein. Dies bietet einen wochenlangen Schutz vor Zecken, die Giftstoffe irritieren jedoch nachhaltig das Immunsystem des Körpers. In vielen Fällen darf das Präparat nicht vom Menschen berührt werden.
Anifit bietet mit seinem Floh- und Zeckenschutz ein natürliches Schutzschild, der bei konsequenter Anwendung Zeckenbefall in der Regel vermeidet bzw. deutlich reduziert und Flöhe abwehrt. Die tägliche Kontrolle des Tieres nach einem Spaziergang in der Natur ist zwar weiterhin notwendig, erspart Ihrem vierbeinigen Liebling dafür aber die möglichen Nebenwirkungen von Giftstoffen.</t>
        </is>
      </c>
      <c r="D147" s="6" t="inlineStr">
        <is>
          <t>in_stock</t>
        </is>
      </c>
      <c r="E147" s="6" t="n"/>
      <c r="F147" s="6" t="n"/>
      <c r="G147" s="11" t="inlineStr">
        <is>
          <t>https://www.fellkost.de/content/partners/466587/shop/shop/article/11318/floh_zeckenschutz_nachfuellung_100ml_1_stueck_</t>
        </is>
      </c>
      <c r="H147" s="6" t="n"/>
      <c r="I147" s="13" t="inlineStr">
        <is>
          <t>https://www.fellkost.de/static/content/e18829/e18831/e18851/e18901/e18938/image_shop1/ger/Hund%20Katze%20Floh-%20%26%20Zeckenschutz%20100%20ml%201920%20x%201920_w480_h480_q90_jpg.jpg?checksum=e0500ba83e2196850403c1ccf9a6d25fc50d4da2</t>
        </is>
      </c>
      <c r="J147" s="7" t="n">
        <v>23.49</v>
      </c>
      <c r="K147" s="6" t="n"/>
      <c r="L147" s="6" t="n"/>
      <c r="M147" s="6" t="inlineStr">
        <is>
          <t>no</t>
        </is>
      </c>
      <c r="N147" s="6" t="n"/>
      <c r="O147" s="6" t="n"/>
      <c r="P147" s="6" t="inlineStr">
        <is>
          <t>ANIfit</t>
        </is>
      </c>
      <c r="Q147" s="14" t="n"/>
      <c r="R147" s="6" t="n"/>
      <c r="S147" s="6" t="n"/>
      <c r="T147" s="6" t="inlineStr">
        <is>
          <t>new</t>
        </is>
      </c>
      <c r="U147" s="6" t="inlineStr">
        <is>
          <t>no</t>
        </is>
      </c>
      <c r="V147" s="6" t="n"/>
      <c r="W147" s="6" t="n"/>
      <c r="X147" s="6" t="n"/>
      <c r="Y147" s="6" t="n"/>
      <c r="Z147" s="6" t="n"/>
      <c r="AA147" s="6" t="n"/>
      <c r="AB147" s="6" t="n"/>
      <c r="AC147" s="6" t="n"/>
      <c r="AD147" s="6" t="n"/>
      <c r="AE147" s="6" t="n"/>
      <c r="AF147" s="6" t="n"/>
      <c r="AG147" s="6" t="n"/>
      <c r="AH147" s="6" t="n"/>
      <c r="AI147" s="6" t="n"/>
      <c r="AJ147" s="6" t="n"/>
      <c r="AK147" s="6" t="n"/>
      <c r="AL147" s="3" t="n">
        <v>500</v>
      </c>
    </row>
    <row r="148">
      <c r="A148" s="3" t="n">
        <v>43571</v>
      </c>
      <c r="B148" s="14" t="inlineStr">
        <is>
          <t>Basenpulver Hund/Katze 250g</t>
        </is>
      </c>
      <c r="C148" s="13" t="inlineStr">
        <is>
          <t>Fleisch und viele andere Lebensmittel erhöhen die Säuren im Körper. Bei einem gesunden Darm mit kräftiger Darmwandmuskulatur bleiben die Säuren im Darminneren und werden mit dem Kot ausgeschieden. Wenn die Schutzschicht aus Darmschleimhaut und Darmwandmuskulatur jedoch geschwächt ist, können die Säuren ins Blut übertreten und sich im gesamten Körper verteilen. Weitere Schwachstellen sind die Lunge, die Haut und die Nieren, die im Krankheitsfall die anflutenden Säuren nicht mehr ausreichend abpuffern können.
Hunde- und Katzenbesitzer beobachten unterschiedliche Auffälligkeiten bei ihren Tieren, die mit einer Übersäuerung in Zusammenhang gebracht werden können. Typische Symptome am Verdauungstrakt sind unter anderem:
Erde und/oder Gras fressen, übermäßiges Speicheln, saures Aufstoßen, Erbrechen und Sodbrennen
Mit zwei Möglichkeiten kann einer Übersäuerung entgegengewirkt werden:
Reduktion säurehaltiger Bestandteile (insb. Fleisch) und Erhöhung basischer Bestandteile (z.B. Gemüse). Bei Hunden empfiehlt sich eine leichte Reduktion der Anifit-Nahrung und Beimischung der Gemüseflocke.
Reduktion der Säure durch Beimischung eines ausgewogenen Basenpulvers.
Nur natürliche Inhaltsstoffe
Keine Konservierungsstoffe
Ohne Füllstoffe
Ohne Zusatzstoffe wie Rieselstoffe
Ohne Aromen und ohne Farbstoffe
Glutenfrei und Laktosefrei
Frei von Zucker</t>
        </is>
      </c>
      <c r="D148" s="6" t="inlineStr">
        <is>
          <t>in_stock</t>
        </is>
      </c>
      <c r="E148" s="6" t="n"/>
      <c r="F148" s="6" t="n"/>
      <c r="G148" s="11" t="inlineStr">
        <is>
          <t>https://www.fellkost.de/content/partners/466587/shop/shop/article/43571/basenpulver_hund_katze_250g_1_stueck_?category=62194</t>
        </is>
      </c>
      <c r="H148" s="6" t="n"/>
      <c r="I148" s="13" t="inlineStr">
        <is>
          <t>https://www.fellkost.de/static/content/e18829/e18831/e18851/e18901/e43226/image_shop1/ger/Hund%20Katze%20Nahrungserg%C3%A4nzung%20Pro%20Basenpulver%20250g%201920%20x%201920_w480_h480_q90_jpg.jpg?checksum=b6bd530aab0e2dd1a136db434d5d974f08fc9fb0</t>
        </is>
      </c>
      <c r="J148" s="7" t="n">
        <v>22.49</v>
      </c>
      <c r="K148" s="6" t="n"/>
      <c r="L148" s="6" t="n"/>
      <c r="M148" s="6" t="inlineStr">
        <is>
          <t>no</t>
        </is>
      </c>
      <c r="N148" s="6" t="n"/>
      <c r="O148" s="6" t="n"/>
      <c r="P148" s="6" t="inlineStr">
        <is>
          <t>ANIfit</t>
        </is>
      </c>
      <c r="Q148" s="14" t="n"/>
      <c r="R148" s="6" t="n"/>
      <c r="S148" s="6" t="n"/>
      <c r="T148" s="6" t="inlineStr">
        <is>
          <t>new</t>
        </is>
      </c>
      <c r="U148" s="6" t="inlineStr">
        <is>
          <t>no</t>
        </is>
      </c>
      <c r="V148" s="6" t="n"/>
      <c r="W148" s="6" t="n"/>
      <c r="X148" s="6" t="n"/>
      <c r="Y148" s="6" t="n"/>
      <c r="Z148" s="6" t="n"/>
      <c r="AA148" s="6" t="n"/>
      <c r="AB148" s="6" t="n"/>
      <c r="AC148" s="6" t="n"/>
      <c r="AD148" s="6" t="n"/>
      <c r="AE148" s="6" t="n"/>
      <c r="AF148" s="6" t="n"/>
      <c r="AG148" s="6" t="n"/>
      <c r="AH148" s="6" t="n"/>
      <c r="AI148" s="6" t="n"/>
      <c r="AJ148" s="6" t="n"/>
      <c r="AK148" s="6" t="n"/>
      <c r="AL148" s="3" t="n">
        <v>500</v>
      </c>
    </row>
    <row r="149">
      <c r="A149" s="3" t="n">
        <v>11282</v>
      </c>
      <c r="B149" s="14" t="inlineStr">
        <is>
          <t>Struvisan 100ml</t>
        </is>
      </c>
      <c r="C149" s="13" t="inlineStr">
        <is>
          <t>Struvitsteine bilden sich in der Blase und können in die Harnröhre gespült werden, wo sie Schmerzen und eine Verstopfung der Harnröhre verursachen.
Besonders Kater sind aufgrund ihrer langen und dünnen Harnröhre betroffen. Struvitsteine werden als infektiöse Steine bezeichnet, weil eine Infektion mit ureaseproduzierenden Bakterien den Harn-pH-Wert alkalisch macht.
Erste Anzeichen für eine Entzündung bzw. eine teilweise Verstopfung der Blase sind u.a. Blut im Urin sowie häufiges und angestrengtes Urinieren. In diesem Fall unbedingt einen Tierarzt aufsuchen.
Die Ursachen und Risikofaktoren für die Bildung von Struvitsteinen sind sehr unterschiedlich. Sie reichen von Infektionen des Harntraktes, über Vererbung und Ernährungsfehler bis hin zu einer zu geringen Wasseraufnahme.
Zur Unterstützung bei der Auflösung und zur Prophylaxe des Wiederauftretens von Struvitsteinen empfiehlt es sich, den Tieren Struvisan aufgrund seiner harnsäuernden Eigenschaften zu verabreichen. Die Paste wird von den Tieren gerne angenommen.
Struvisan kann für die Dauer bis zu sechs Monaten verfüttert werden. Es wird empfohlen, vor der Verwendung den Rat eines Tierarztes einzuholen.
Zur Prophylaxe der Struvitsteinbildung genügt es, den Harn-pH-Wert unter 7 zu senken. Ein Wert unter 6,5 wirkt bereits auflösend.
Haltbarkeit
Nach erstmaliger Verwendung der Paste ist das Produkt noch max. sechs Monate haltbar.</t>
        </is>
      </c>
      <c r="D149" s="6" t="inlineStr">
        <is>
          <t>in_stock</t>
        </is>
      </c>
      <c r="E149" s="6" t="n"/>
      <c r="F149" s="6" t="n"/>
      <c r="G149" s="11" t="inlineStr">
        <is>
          <t>https://www.fellkost.de/content/partners/466587/shop/shop/article/11282/struvisan_100_ml_1_stueck_?category=62194</t>
        </is>
      </c>
      <c r="H149" s="6" t="n"/>
      <c r="I149" s="13" t="inlineStr">
        <is>
          <t>https://www.fellkost.de/static/content/e18829/e18831/e18851/e18901/e18902/image_shop1/ger/Struvisan_w480_h480_q90_jpg.jpg?checksum=4f874b6c9e4597398078c344748ee09d32558f44</t>
        </is>
      </c>
      <c r="J149" s="7" t="n">
        <v>11</v>
      </c>
      <c r="K149" s="6" t="n"/>
      <c r="L149" s="6" t="n"/>
      <c r="M149" s="6" t="inlineStr">
        <is>
          <t>no</t>
        </is>
      </c>
      <c r="N149" s="6" t="n"/>
      <c r="O149" s="6" t="n"/>
      <c r="P149" s="6" t="inlineStr">
        <is>
          <t>ANIfit</t>
        </is>
      </c>
      <c r="Q149" s="13" t="n"/>
      <c r="R149" s="6" t="n"/>
      <c r="S149" s="6" t="n"/>
      <c r="T149" s="6" t="inlineStr">
        <is>
          <t>new</t>
        </is>
      </c>
      <c r="U149" s="6" t="inlineStr">
        <is>
          <t>no</t>
        </is>
      </c>
      <c r="V149" s="6" t="n"/>
      <c r="W149" s="6" t="n"/>
      <c r="X149" s="6" t="n"/>
      <c r="Y149" s="6" t="n"/>
      <c r="Z149" s="6" t="n"/>
      <c r="AA149" s="6" t="n"/>
      <c r="AB149" s="6" t="n"/>
      <c r="AC149" s="6" t="n"/>
      <c r="AD149" s="6" t="n"/>
      <c r="AE149" s="6" t="n"/>
      <c r="AF149" s="6" t="n"/>
      <c r="AG149" s="6" t="n"/>
      <c r="AH149" s="6" t="n"/>
      <c r="AI149" s="6" t="n"/>
      <c r="AJ149" s="6" t="n"/>
      <c r="AK149" s="6" t="n"/>
      <c r="AL149" s="3" t="n">
        <v>500</v>
      </c>
    </row>
    <row r="150">
      <c r="A150" s="3" t="n">
        <v>26740</v>
      </c>
      <c r="B150" s="14" t="inlineStr">
        <is>
          <t>Pro Relax 30ml</t>
        </is>
      </c>
      <c r="C150" s="13" t="inlineStr">
        <is>
          <t>Es gibt eine Vielzahl an Situationen, in denen Hund oder Katze eine stressige Situation erlebt. Beispiele hierfür sind Feuerwerke (Silvester), Gewitter, Tierarztbesuch, Reisen, Veränderungen bei der Wohnsituation, Unfallsituationen, Operationen und vieles mehr.
Mit einem rein pflanzlichen Mittel kann die körperliche und nervliche Belastbarkeit erhöht werden.</t>
        </is>
      </c>
      <c r="D150" s="6" t="inlineStr">
        <is>
          <t>in_stock</t>
        </is>
      </c>
      <c r="E150" s="6" t="n"/>
      <c r="F150" s="6" t="n"/>
      <c r="G150" s="11" t="inlineStr">
        <is>
          <t>https://www.fellkost.de/content/partners/466587/shop/shop/article/26740/pro_relax_30ml_1_stueck_?category=62194</t>
        </is>
      </c>
      <c r="H150" s="6" t="n"/>
      <c r="I150" s="13" t="inlineStr">
        <is>
          <t>https://www.fellkost.de/static/content/e18829/e18831/e18851/e18901/e30160/image_shop1/ger/Hund%20Katze%20Nahrungserg%C3%A4nzung%20Relax%2030ml%201920%20x%201920_w480_h480_q90_jpg.jpg?checksum=48b5f4f18cdc144e2b49cd1cc99653e7a9923a47</t>
        </is>
      </c>
      <c r="J150" s="7" t="n">
        <v>15.99</v>
      </c>
      <c r="K150" s="6" t="n"/>
      <c r="L150" s="6" t="n"/>
      <c r="M150" s="6" t="inlineStr">
        <is>
          <t>no</t>
        </is>
      </c>
      <c r="N150" s="6" t="n"/>
      <c r="O150" s="6" t="n"/>
      <c r="P150" s="6" t="inlineStr">
        <is>
          <t>ANIfit</t>
        </is>
      </c>
      <c r="Q150" s="14" t="n"/>
      <c r="R150" s="6" t="n"/>
      <c r="S150" s="6" t="n"/>
      <c r="T150" s="6" t="inlineStr">
        <is>
          <t>new</t>
        </is>
      </c>
      <c r="U150" s="6" t="inlineStr">
        <is>
          <t>no</t>
        </is>
      </c>
      <c r="V150" s="6" t="n"/>
      <c r="W150" s="6" t="n"/>
      <c r="X150" s="6" t="n"/>
      <c r="Y150" s="6" t="n"/>
      <c r="Z150" s="6" t="n"/>
      <c r="AA150" s="6" t="n"/>
      <c r="AB150" s="6" t="n"/>
      <c r="AC150" s="6" t="n"/>
      <c r="AD150" s="6" t="n"/>
      <c r="AE150" s="6" t="n"/>
      <c r="AF150" s="6" t="n"/>
      <c r="AG150" s="6" t="n"/>
      <c r="AH150" s="6" t="n"/>
      <c r="AI150" s="6" t="n"/>
      <c r="AJ150" s="6" t="n"/>
      <c r="AK150" s="6" t="n"/>
      <c r="AL150" s="3" t="n">
        <v>500</v>
      </c>
    </row>
    <row r="151">
      <c r="A151" s="3" t="n">
        <v>173217</v>
      </c>
      <c r="B151" s="14" t="inlineStr">
        <is>
          <t>Verdauungsretter 30g</t>
        </is>
      </c>
      <c r="C151" s="13" t="inlineStr">
        <is>
          <t>Futterkohle, hergestellt aus Waldholz
Die Kohle wird nicht vom Körper aufgenommen, sondern über den Verdauungstrakt wieder ausgeschieden. Sie ist deswegen beliebt, um Giftstoffe aus dem Magen-Darm-Trakt zu beseitigen und Durchfallerkran_x001f_kungen zu bekämpfen.
Vergiftungen
Auch bei der Aufnahme von Giften kann Aktivkohle hilfreich sein. Die Stoffe werden gebunden und gelangen nicht in die Blutbahn. Ist ein Gift jedoch erst einmal in der Blutbahn, kann die Aktivkohle nicht mehr helfen. Sie bindet nur Stoffe/Gifte, die sich im Darm befinden.</t>
        </is>
      </c>
      <c r="D151" s="6" t="inlineStr">
        <is>
          <t>in_stock</t>
        </is>
      </c>
      <c r="E151" s="6" t="n"/>
      <c r="F151" s="6" t="n"/>
      <c r="G151" s="11" t="inlineStr">
        <is>
          <t>https://www.fellkost.de/content/partners/466587/shop/shop/article/173217/verdauungsretter_30g_1_stueck_?category=62194</t>
        </is>
      </c>
      <c r="H151" s="6" t="n"/>
      <c r="I151" s="13" t="inlineStr">
        <is>
          <t>https://www.fellkost.de/static/content/e18829/e18831/e18851/e18901/e109180/image_shop1/ger/Verdauungsretter_1_w480_h480_q90_jpg.jpg?checksum=b1b304fdeb13192bc87efce1c3bf46ac8a437bb9</t>
        </is>
      </c>
      <c r="J151" s="7" t="n">
        <v>2.7</v>
      </c>
      <c r="K151" s="6" t="n"/>
      <c r="L151" s="6" t="n"/>
      <c r="M151" s="6" t="inlineStr">
        <is>
          <t>no</t>
        </is>
      </c>
      <c r="N151" s="6" t="n"/>
      <c r="O151" s="6" t="n"/>
      <c r="P151" s="6" t="inlineStr">
        <is>
          <t>ANIfit</t>
        </is>
      </c>
      <c r="Q151" s="14" t="n"/>
      <c r="R151" s="6" t="n"/>
      <c r="S151" s="6" t="n"/>
      <c r="T151" s="6" t="inlineStr">
        <is>
          <t>new</t>
        </is>
      </c>
      <c r="U151" s="6" t="inlineStr">
        <is>
          <t>no</t>
        </is>
      </c>
      <c r="V151" s="6" t="n"/>
      <c r="W151" s="6" t="n"/>
      <c r="X151" s="6" t="n"/>
      <c r="Y151" s="6" t="n"/>
      <c r="Z151" s="6" t="n"/>
      <c r="AA151" s="6" t="n"/>
      <c r="AB151" s="6" t="n"/>
      <c r="AC151" s="6" t="n"/>
      <c r="AD151" s="6" t="n"/>
      <c r="AE151" s="6" t="n"/>
      <c r="AF151" s="6" t="n"/>
      <c r="AG151" s="6" t="n"/>
      <c r="AH151" s="6" t="n"/>
      <c r="AI151" s="6" t="n"/>
      <c r="AJ151" s="6" t="n"/>
      <c r="AK151" s="6" t="n"/>
      <c r="AL151" s="3" t="n">
        <v>500</v>
      </c>
    </row>
    <row r="152">
      <c r="A152" s="3" t="n">
        <v>297787</v>
      </c>
      <c r="B152" s="14" t="inlineStr">
        <is>
          <t>Morosche Karottensuppe 390g</t>
        </is>
      </c>
      <c r="C152" s="13" t="inlineStr">
        <is>
          <t>Die Morosche Karottensuppe ist in Wikipedia sehr gut beschrieben. Die freie Enzyklopädie schreibt dazu:
"Die Morosche Karottensuppe findet als natürliches Heilmittel in der Human- und Tiermedizin Anwendung. Erstmals wurde sie am Anfang des 20. Jahrhunderts publiziert. Dem renommierten österreichischen Kinderarzt Ernst Moro, zu jener Zeit als Oberarzt an der Kinderklinik der Ludwig-Maximilians-Universität München tätig, gelang es 1908 durch die Verabreichung dieser Karottensuppe, die Sterbe- und Komplikationsrate von Kindern mit Durchfallerkrankungen drastisch zu senken. Moro bereitete die Suppe nach alten Hausrezepten zu, womit er vielen Kindern in seinem Wirkungsbereich das Leben rettete.
Warum die Karottensuppe so gut wirkt, wurde erst viel später mit Hilfe moderner Laboruntersuchungen herausgefunden: Beim langen Kochen der Karotten entstehen saure Oligogalakturonide, kleinste Zuckermoleküle, die den Rezeptoren des Darmepithels ähneln, so dass die pathogenen Darmkeime statt an der Darmwand an den Zuckermolekülen andocken und einfach ausgeschieden werden. Auf diese Weise kann die Darmflora wieder gesunden."
Die Morosche Karottensuppe eignet sich somit zur vorübergehenden Fütterung als Schonkost und unterstützt die Darmflora des Hundes und der Katze.</t>
        </is>
      </c>
      <c r="D152" s="6" t="inlineStr">
        <is>
          <t>in_stock</t>
        </is>
      </c>
      <c r="E152" s="6" t="n"/>
      <c r="F152" s="6" t="n"/>
      <c r="G152" s="11" t="inlineStr">
        <is>
          <t>https://www.fellkost.de/content/partners/466587/shop/shop/article/297787/morosche_karottensuppe_390g_1_stueck_?category=62194</t>
        </is>
      </c>
      <c r="H152" s="6" t="n"/>
      <c r="I152" s="14" t="inlineStr">
        <is>
          <t>https://www.fellkost.de/static/content/e18829/e18831/e18851/e18901/e121793/image_shop1/ger/Hund%20Katze%20Morosche%20Karottensuppe%201920%20x%201920_w480_h480_q90_jpg.jpg?checksum=ed51fcace69999892f4fdc0cb0bfaa444c34c200</t>
        </is>
      </c>
      <c r="J152" s="7" t="n">
        <v>2.09</v>
      </c>
      <c r="K152" s="6" t="n"/>
      <c r="L152" s="6" t="n"/>
      <c r="M152" s="6" t="inlineStr">
        <is>
          <t>no</t>
        </is>
      </c>
      <c r="N152" s="6" t="n"/>
      <c r="O152" s="6" t="n"/>
      <c r="P152" s="6" t="inlineStr">
        <is>
          <t>ANIfit</t>
        </is>
      </c>
      <c r="Q152" s="14" t="n"/>
      <c r="R152" s="6" t="n"/>
      <c r="S152" s="6" t="n"/>
      <c r="T152" s="6" t="inlineStr">
        <is>
          <t>new</t>
        </is>
      </c>
      <c r="U152" s="6" t="inlineStr">
        <is>
          <t>no</t>
        </is>
      </c>
      <c r="V152" s="6" t="n"/>
      <c r="W152" s="6" t="n"/>
      <c r="X152" s="6" t="n"/>
      <c r="Y152" s="6" t="n"/>
      <c r="Z152" s="6" t="n"/>
      <c r="AA152" s="6" t="n"/>
      <c r="AB152" s="6" t="n"/>
      <c r="AC152" s="6" t="n"/>
      <c r="AD152" s="6" t="n"/>
      <c r="AE152" s="6" t="n"/>
      <c r="AF152" s="6" t="n"/>
      <c r="AG152" s="6" t="n"/>
      <c r="AH152" s="6" t="n"/>
      <c r="AI152" s="6" t="n"/>
      <c r="AJ152" s="6" t="n"/>
      <c r="AK152" s="6" t="n"/>
      <c r="AL152" s="3" t="n">
        <v>500</v>
      </c>
    </row>
    <row r="153">
      <c r="A153" s="3" t="n">
        <v>11403</v>
      </c>
      <c r="B153" s="14" t="inlineStr">
        <is>
          <t>Anifit Schnappdeckel klein (für 200g und 400g Dosen)</t>
        </is>
      </c>
      <c r="C153" s="13" t="inlineStr">
        <is>
          <t>Mit dem Schnappdeckel (für 200 Gramm / 400 Gramm Dosen) sorgen Sie für maximale Frische und Hygiene bei der Aufbewahrung von Tiernahrung.
Einfach auf die geöffneten ANIfit Dosen aufsetzen und schon bleibt das Futter länger frisch, geschützt vor äußeren Einflüssen wie Schmutz und Feuchtigkeit.
✔ Hygienisch und praktisch: Verhindert das Eindringen von Keimen und hält den Platz sauber.✔ Geruchsneutral: Reduziert unangenehme Gerüche.✔ Passgenau und langlebig: Lässt sich leicht reinigen und passt perfekt auf die ANIfit Dosen.✔ Nachhaltig: Wiederverwendbar und umweltfreundlich – ein kleiner Beitrag für die Natur.
Hinweis
Der Schnappdeckel ist für 400g/200g-Dosen und 800g/810g-Dosen erhältlich.</t>
        </is>
      </c>
      <c r="D153" s="6" t="inlineStr">
        <is>
          <t>in_stock</t>
        </is>
      </c>
      <c r="E153" s="6" t="n"/>
      <c r="F153" s="6" t="n"/>
      <c r="G153" s="11" t="inlineStr">
        <is>
          <t>https://www.fellkost.de/content/partners/466587/shop/shop/article/11403/anifit_schnappdeckel_klein_1_stueck_?category=62195</t>
        </is>
      </c>
      <c r="H153" s="6" t="n"/>
      <c r="I153" s="13" t="inlineStr">
        <is>
          <t>https://www.fellkost.de/static/content/e18829/e18831/e18851/e28916/e19022/image_shop1/ger/Schnappdeckel%20Neu_w480_h480_q90_jpg.jpg?checksum=713ad947b233f4b64839054fa35576dee16d412d</t>
        </is>
      </c>
      <c r="J153" s="7" t="n">
        <v>1.2</v>
      </c>
      <c r="K153" s="6" t="n"/>
      <c r="L153" s="6" t="n"/>
      <c r="M153" s="6" t="inlineStr">
        <is>
          <t>no</t>
        </is>
      </c>
      <c r="N153" s="6" t="n"/>
      <c r="O153" s="6" t="n"/>
      <c r="P153" s="6" t="inlineStr">
        <is>
          <t>ANIfit</t>
        </is>
      </c>
      <c r="Q153" s="14" t="n"/>
      <c r="R153" s="6" t="n"/>
      <c r="S153" s="6" t="n"/>
      <c r="T153" s="6" t="inlineStr">
        <is>
          <t>new</t>
        </is>
      </c>
      <c r="U153" s="6" t="inlineStr">
        <is>
          <t>no</t>
        </is>
      </c>
      <c r="V153" s="6" t="n"/>
      <c r="W153" s="6" t="n"/>
      <c r="X153" s="6" t="n"/>
      <c r="Y153" s="6" t="n"/>
      <c r="Z153" s="6" t="n"/>
      <c r="AA153" s="6" t="n"/>
      <c r="AB153" s="6" t="n"/>
      <c r="AC153" s="6" t="n"/>
      <c r="AD153" s="6" t="n"/>
      <c r="AE153" s="6" t="n"/>
      <c r="AF153" s="6" t="n"/>
      <c r="AG153" s="6" t="n"/>
      <c r="AH153" s="6" t="n"/>
      <c r="AI153" s="6" t="n"/>
      <c r="AJ153" s="6" t="n"/>
      <c r="AK153" s="6" t="n"/>
      <c r="AL153" s="3" t="n">
        <v>500</v>
      </c>
    </row>
    <row r="154">
      <c r="A154" s="3" t="n">
        <v>11401</v>
      </c>
      <c r="B154" s="14" t="inlineStr">
        <is>
          <t>Anifit Schnappdeckel groß (für 810g Dosen)</t>
        </is>
      </c>
      <c r="C154" s="13" t="inlineStr">
        <is>
          <t>Mit dem Schnappdeckel (für 800 Gramm / 810 Gramm Dosen) sorgen Sie für maximale Frische und Hygiene bei der Aufbewahrung von Tiernahrung.
Einfach auf die geöffneten ANIfit Dosen aufsetzen und schon bleibt das Futter länger frisch, geschützt vor äußeren Einflüssen wie Schmutz und Feuchtigkeit.
✔ Hygienisch und praktisch: Verhindert das Eindringen von Keimen und hält den Platz sauber.✔ Geruchsneutral: Reduziert unangenehme Gerüche.✔ Passgenau und langlebig: Lässt sich leicht reinigen und passt perfekt auf die ANIfit Dosen.✔ Nachhaltig: Wiederverwendbar und umweltfreundlich – ein kleiner Beitrag für die Natur.
Hinweis
Der Schnappdeckel ist für 400g/200g-Dosen und 800g/810g-Dosen erhältlich.</t>
        </is>
      </c>
      <c r="D154" s="6" t="inlineStr">
        <is>
          <t>in_stock</t>
        </is>
      </c>
      <c r="E154" s="6" t="n"/>
      <c r="F154" s="6" t="n"/>
      <c r="G154" s="11" t="inlineStr">
        <is>
          <t>https://www.fellkost.de/content/partners/466587/shop/shop/article/11401/anifit_schnappdeckel_gross_1_stueck_?category=62195</t>
        </is>
      </c>
      <c r="H154" s="6" t="n"/>
      <c r="I154" s="13" t="inlineStr">
        <is>
          <t>https://www.fellkost.de/static/content/e18829/e18831/e18851/e28916/e19020/image_shop1/ger/Schnappdeckel%20Neu_w480_h480_q90_jpg.jpg?checksum=713ad947b233f4b64839054fa35576dee16d412d</t>
        </is>
      </c>
      <c r="J154" s="7" t="n">
        <v>1.2</v>
      </c>
      <c r="K154" s="6" t="n"/>
      <c r="L154" s="6" t="n"/>
      <c r="M154" s="6" t="inlineStr">
        <is>
          <t>no</t>
        </is>
      </c>
      <c r="N154" s="6" t="n"/>
      <c r="O154" s="6" t="n"/>
      <c r="P154" s="6" t="inlineStr">
        <is>
          <t>ANIfit</t>
        </is>
      </c>
      <c r="Q154" s="14" t="n"/>
      <c r="R154" s="6" t="n"/>
      <c r="S154" s="6" t="n"/>
      <c r="T154" s="6" t="inlineStr">
        <is>
          <t>new</t>
        </is>
      </c>
      <c r="U154" s="6" t="inlineStr">
        <is>
          <t>no</t>
        </is>
      </c>
      <c r="V154" s="6" t="n"/>
      <c r="W154" s="6" t="n"/>
      <c r="X154" s="6" t="n"/>
      <c r="Y154" s="6" t="n"/>
      <c r="Z154" s="6" t="n"/>
      <c r="AA154" s="6" t="n"/>
      <c r="AB154" s="6" t="n"/>
      <c r="AC154" s="6" t="n"/>
      <c r="AD154" s="6" t="n"/>
      <c r="AE154" s="6" t="n"/>
      <c r="AF154" s="6" t="n"/>
      <c r="AG154" s="6" t="n"/>
      <c r="AH154" s="6" t="n"/>
      <c r="AI154" s="6" t="n"/>
      <c r="AJ154" s="6" t="n"/>
      <c r="AK154" s="6" t="n"/>
      <c r="AL154" s="3" t="n">
        <v>500</v>
      </c>
    </row>
    <row r="155">
      <c r="A155" s="3" t="n">
        <v>26742</v>
      </c>
      <c r="B155" s="13" t="inlineStr">
        <is>
          <t>Pro Shampoo</t>
        </is>
      </c>
      <c r="C155" s="13" t="inlineStr">
        <is>
          <t>Das Shampoo ist für alle Fellarten geeignet, dermatologisch getestet und durch die Inhaltsstoffe Aloe Vera und Kamille nicht nur reinigend, sondern auch pflegend.
PRO Shampoo besteht aus rein natürlichen Substanzen und ist für eine milde Pflege entwickelt worden. Mit Kamille, Aloe Vera und dem Salz des Toten Meeres wird die Haut mit reichhaltigen und rückfettenden natürlichen Substanzen versorgt.
pH-neutral: erhält den Säureschutz der Haut
Hautverträglichkeit dermatologisch bestätigt
Natürliche Fellpflege
Wirkt beruhigend bei gereizter und empfindlicher Haut
Hohe Ergiebigkeit (Konzentrat)
Für alle Fellarten geeignet
Mit Bio-Aloe vera
PEG-frei (Polyethylenglykol)
Haltbarkeit
12 Monate nach Öffnen der Dose</t>
        </is>
      </c>
      <c r="D155" s="6" t="inlineStr">
        <is>
          <t>in_stock</t>
        </is>
      </c>
      <c r="E155" s="6" t="n"/>
      <c r="F155" s="6" t="n"/>
      <c r="G155" s="11" t="inlineStr">
        <is>
          <t>https://www.fellkost.de/content/partners/466587/shop/shop/article/26742/pro_shampoo_250ml_1_stueck_?category=62195</t>
        </is>
      </c>
      <c r="H155" s="6" t="n"/>
      <c r="I155" s="13" t="inlineStr">
        <is>
          <t>https://www.fellkost.de/static/content/e18829/e18831/e18851/e28916/e30161/image_shop1/ger/PRO%20Shampoo_w480_h480_q90_jpg.jpg?checksum=62e05e456dbc103d440fa61379982f126a4fcf2d</t>
        </is>
      </c>
      <c r="J155" s="7" t="n">
        <v>8.59</v>
      </c>
      <c r="K155" s="6" t="n"/>
      <c r="L155" s="6" t="n"/>
      <c r="M155" s="6" t="inlineStr">
        <is>
          <t>no</t>
        </is>
      </c>
      <c r="N155" s="6" t="n"/>
      <c r="O155" s="6" t="n"/>
      <c r="P155" s="6" t="inlineStr">
        <is>
          <t>ANIfit</t>
        </is>
      </c>
      <c r="Q155" s="14" t="n"/>
      <c r="R155" s="6" t="n"/>
      <c r="S155" s="6" t="n"/>
      <c r="T155" s="6" t="inlineStr">
        <is>
          <t>new</t>
        </is>
      </c>
      <c r="U155" s="6" t="inlineStr">
        <is>
          <t>no</t>
        </is>
      </c>
      <c r="V155" s="6" t="n"/>
      <c r="W155" s="6" t="n"/>
      <c r="X155" s="6" t="n"/>
      <c r="Y155" s="6" t="n"/>
      <c r="Z155" s="6" t="n"/>
      <c r="AA155" s="6" t="n"/>
      <c r="AB155" s="6" t="n"/>
      <c r="AC155" s="6" t="n"/>
      <c r="AD155" s="6" t="n"/>
      <c r="AE155" s="6" t="n"/>
      <c r="AF155" s="6" t="n"/>
      <c r="AG155" s="6" t="n"/>
      <c r="AH155" s="6" t="n"/>
      <c r="AI155" s="6" t="n"/>
      <c r="AJ155" s="6" t="n"/>
      <c r="AK155" s="6" t="n"/>
      <c r="AL155" s="3" t="n">
        <v>500</v>
      </c>
    </row>
    <row r="156">
      <c r="A156" s="3" t="n">
        <v>35133</v>
      </c>
      <c r="B156" s="13" t="inlineStr">
        <is>
          <t>Pro Fellpflege</t>
        </is>
      </c>
      <c r="C156" s="13" t="inlineStr">
        <is>
          <t>Die effektiven Mikroorganismen der PRO-Fellpflege verdrängen problematische Keime und schaffen ein natürliches, positives Milieu. Sie besiedeln alle Flächen und lassen keinen Raum für negative Keime. PRO-Fellpflege kann auch zur Reinigung von Kratzbäumen, Käfigen, Kuscheldecken, Hundedecken und sonstigen Einrichtungsgegen-ständen verwendet werden.
Für empfindliche Tiere geeignet
100 % natürliche Rohstoffe
Frei von künstlichen Farb- oder Lockstoffen, Aromen, Konservierungsstoffen, Alkohol und Formaldehyd
Haltbarkeit
Nach Öffnen der Flasche innerhalb von sechs Monaten verbrauchen.
Bei starken Geruchsveränderungen nicht mehr verwenden. PRO-Fellpflege hat einen süßsauren Eigengeruch.
Hinweise
Bei weißem Fell kann es durch minimale Anteile an Zuckerrohrmelasse im Produkt zu einer leicht gelblichen Verfärbung des Fells kommen. Das ist völlig unbedenklich.
 Kühl und dunkel lagern. Nicht zur Einnahme bestimmt, für Kinder unerreichbar aufbewahren. Kontakt mit Schleimhaut und Augen vermeiden.
Zertifizierungen
Unser Unternehmen (Provital GmbH) ist BIO-zertifiziert durch die BCS ÖKO Garantie GmbH (DE-ÖKO-001) und ISO-9001-zertifiziert durch die TÜV Süd Management Service GmbH.</t>
        </is>
      </c>
      <c r="D156" s="6" t="inlineStr">
        <is>
          <t>in_stock</t>
        </is>
      </c>
      <c r="E156" s="6" t="n"/>
      <c r="F156" s="6" t="n"/>
      <c r="G156" s="11" t="inlineStr">
        <is>
          <t>https://www.fellkost.de/content/partners/466587/shop/shop/article/35133/pro_fellpflege_500ml_1_stueck_?category=62195</t>
        </is>
      </c>
      <c r="H156" s="6" t="n"/>
      <c r="I156" s="13" t="inlineStr">
        <is>
          <t>https://www.fellkost.de/static/content/e18829/e18831/e18851/e18901/e36581/image_shop1/ger/PRO%20Fellpflege_w480_h480_q90_jpg.jpg?checksum=72ac3385faa6288b9cf677a30ebb3f23f8cd721d</t>
        </is>
      </c>
      <c r="J156" s="7" t="n">
        <v>9.390000000000001</v>
      </c>
      <c r="K156" s="6" t="n"/>
      <c r="L156" s="6" t="n"/>
      <c r="M156" s="6" t="inlineStr">
        <is>
          <t>no</t>
        </is>
      </c>
      <c r="N156" s="6" t="n"/>
      <c r="O156" s="6" t="n"/>
      <c r="P156" s="6" t="inlineStr">
        <is>
          <t>ANIfit</t>
        </is>
      </c>
      <c r="Q156" s="14" t="n"/>
      <c r="R156" s="6" t="n"/>
      <c r="S156" s="6" t="n"/>
      <c r="T156" s="6" t="inlineStr">
        <is>
          <t>new</t>
        </is>
      </c>
      <c r="U156" s="6" t="inlineStr">
        <is>
          <t>no</t>
        </is>
      </c>
      <c r="V156" s="6" t="n"/>
      <c r="W156" s="6" t="n"/>
      <c r="X156" s="6" t="n"/>
      <c r="Y156" s="6" t="n"/>
      <c r="Z156" s="6" t="n"/>
      <c r="AA156" s="6" t="n"/>
      <c r="AB156" s="6" t="n"/>
      <c r="AC156" s="6" t="n"/>
      <c r="AD156" s="6" t="n"/>
      <c r="AE156" s="6" t="n"/>
      <c r="AF156" s="6" t="n"/>
      <c r="AG156" s="6" t="n"/>
      <c r="AH156" s="6" t="n"/>
      <c r="AI156" s="6" t="n"/>
      <c r="AJ156" s="6" t="n"/>
      <c r="AK156" s="6" t="n"/>
      <c r="AL156" s="3" t="n">
        <v>500</v>
      </c>
    </row>
    <row r="157">
      <c r="A157" s="3" t="n">
        <v>36442</v>
      </c>
      <c r="B157" s="13" t="inlineStr">
        <is>
          <t>Sprühpsteht fürole</t>
        </is>
      </c>
      <c r="C157" s="6" t="n"/>
      <c r="D157" s="6" t="inlineStr">
        <is>
          <t>in_stock</t>
        </is>
      </c>
      <c r="E157" s="6" t="n"/>
      <c r="F157" s="6" t="n"/>
      <c r="G157" s="11" t="inlineStr">
        <is>
          <t>https://www.fellkost.de/content/partners/466587/shop/shop/article/36442/spruehpistole_1_stueck_?category=62195</t>
        </is>
      </c>
      <c r="H157" s="6" t="n"/>
      <c r="I157" s="13" t="inlineStr">
        <is>
          <t>https://www.fellkost.de/static/content/e18829/e18831/e18851/e18901/e37531/image_shop1/ger/Spr%C3%BChpistole_w480_h480_q90_jpg.jpg?checksum=d8f135030113f19729ee07b0934fbdd3e5b78cb3</t>
        </is>
      </c>
      <c r="J157" s="7" t="n">
        <v>0.99</v>
      </c>
      <c r="K157" s="6" t="n"/>
      <c r="L157" s="6" t="n"/>
      <c r="M157" s="6" t="inlineStr">
        <is>
          <t>no</t>
        </is>
      </c>
      <c r="N157" s="6" t="n"/>
      <c r="O157" s="6" t="n"/>
      <c r="P157" s="6" t="inlineStr">
        <is>
          <t>ANIfit</t>
        </is>
      </c>
      <c r="Q157" s="6" t="n"/>
      <c r="R157" s="6" t="n"/>
      <c r="S157" s="6" t="n"/>
      <c r="T157" s="6" t="inlineStr">
        <is>
          <t>new</t>
        </is>
      </c>
      <c r="U157" s="6" t="inlineStr">
        <is>
          <t>no</t>
        </is>
      </c>
      <c r="V157" s="6" t="n"/>
      <c r="W157" s="6" t="n"/>
      <c r="X157" s="6" t="n"/>
      <c r="Y157" s="6" t="n"/>
      <c r="Z157" s="6" t="n"/>
      <c r="AA157" s="6" t="n"/>
      <c r="AB157" s="6" t="n"/>
      <c r="AC157" s="6" t="n"/>
      <c r="AD157" s="6" t="n"/>
      <c r="AE157" s="6" t="n"/>
      <c r="AF157" s="6" t="n"/>
      <c r="AG157" s="6" t="n"/>
      <c r="AH157" s="6" t="n"/>
      <c r="AI157" s="6" t="n"/>
      <c r="AJ157" s="6" t="n"/>
      <c r="AK157" s="6" t="n"/>
      <c r="AL157" s="3" t="n">
        <v>500</v>
      </c>
    </row>
    <row r="158">
      <c r="A158" s="3" t="n">
        <v>11416</v>
      </c>
      <c r="B158" s="14" t="inlineStr">
        <is>
          <t>Anifit Futternapf aus Keramik (klein)</t>
        </is>
      </c>
      <c r="C158" s="14" t="inlineStr">
        <is>
          <t>Der Katzennapf ist nicht so hoch wie der Hundenapf, damit die Katze die Nahrung bequem fressen kann. 
Hinweis
Der Napf ist aus Keramik.</t>
        </is>
      </c>
      <c r="D158" s="6" t="inlineStr">
        <is>
          <t>in_stock</t>
        </is>
      </c>
      <c r="E158" s="6" t="n"/>
      <c r="F158" s="6" t="n"/>
      <c r="G158" s="11" t="inlineStr">
        <is>
          <t>https://www.fellkost.de/content/partners/466587/shop/shop/article/11416/anifit_futternapf_klein_1_stueck_?category=62195</t>
        </is>
      </c>
      <c r="H158" s="6" t="n"/>
      <c r="I158" s="13" t="inlineStr">
        <is>
          <t>https://www.fellkost.de/static/content/e18829/e18831/e18851/e28916/e19035/image_shop1/ger/Futtern%C3%A4pfe%20klein_w480_h480_q90_jpg.jpg?checksum=916e625fb8c1e840d2d432694ced335c78791f25</t>
        </is>
      </c>
      <c r="J158" s="7" t="n">
        <v>11.2</v>
      </c>
      <c r="K158" s="6" t="n"/>
      <c r="L158" s="6" t="n"/>
      <c r="M158" s="6" t="inlineStr">
        <is>
          <t>no</t>
        </is>
      </c>
      <c r="N158" s="6" t="n"/>
      <c r="O158" s="6" t="n"/>
      <c r="P158" s="6" t="inlineStr">
        <is>
          <t>ANIfit</t>
        </is>
      </c>
      <c r="Q158" s="14" t="n"/>
      <c r="R158" s="6" t="n"/>
      <c r="S158" s="6" t="n"/>
      <c r="T158" s="6" t="inlineStr">
        <is>
          <t>new</t>
        </is>
      </c>
      <c r="U158" s="6" t="inlineStr">
        <is>
          <t>no</t>
        </is>
      </c>
      <c r="V158" s="6" t="n"/>
      <c r="W158" s="6" t="n"/>
      <c r="X158" s="6" t="n"/>
      <c r="Y158" s="6" t="n"/>
      <c r="Z158" s="6" t="n"/>
      <c r="AA158" s="6" t="n"/>
      <c r="AB158" s="6" t="n"/>
      <c r="AC158" s="6" t="n"/>
      <c r="AD158" s="6" t="n"/>
      <c r="AE158" s="6" t="n"/>
      <c r="AF158" s="6" t="n"/>
      <c r="AG158" s="6" t="n"/>
      <c r="AH158" s="6" t="n"/>
      <c r="AI158" s="6" t="n"/>
      <c r="AJ158" s="6" t="n"/>
      <c r="AK158" s="6" t="n"/>
      <c r="AL158" s="3" t="n">
        <v>500</v>
      </c>
    </row>
    <row r="159">
      <c r="A159" s="3" t="n">
        <v>11815</v>
      </c>
      <c r="B159" s="14" t="inlineStr">
        <is>
          <t>Anifit Futternapf aus Keramik (groß)</t>
        </is>
      </c>
      <c r="C159" s="14" t="inlineStr">
        <is>
          <t>Der Hundenapf mit 19.5cm Durchmesser. 
Hinweis
Der Napf ist aus Keramik.</t>
        </is>
      </c>
      <c r="D159" s="6" t="inlineStr">
        <is>
          <t>in_stock</t>
        </is>
      </c>
      <c r="E159" s="6" t="n"/>
      <c r="F159" s="6" t="n"/>
      <c r="G159" s="11" t="inlineStr">
        <is>
          <t>https://www.fellkost.de/content/partners/466587/shop/shop/article/11815/anifit_futternapf_gross_1_stueck_</t>
        </is>
      </c>
      <c r="H159" s="6" t="n"/>
      <c r="I159" s="13" t="inlineStr">
        <is>
          <t>https://www.fellkost.de/static/content/e18829/e18831/e18851/e28916/e19210/image_shop1/ger/Futtern%C3%A4pfe%20gro%C3%9F_w480_h480_q90_jpg.jpg?checksum=358d0af7a5e311572e7c2c57dd744bf558176051</t>
        </is>
      </c>
      <c r="J159" s="7" t="n">
        <v>14.25</v>
      </c>
      <c r="K159" s="6" t="n"/>
      <c r="L159" s="6" t="n"/>
      <c r="M159" s="6" t="inlineStr">
        <is>
          <t>no</t>
        </is>
      </c>
      <c r="N159" s="6" t="n"/>
      <c r="O159" s="6" t="n"/>
      <c r="P159" s="6" t="inlineStr">
        <is>
          <t>ANIfit</t>
        </is>
      </c>
      <c r="Q159" s="14" t="n"/>
      <c r="R159" s="6" t="n"/>
      <c r="S159" s="6" t="n"/>
      <c r="T159" s="6" t="inlineStr">
        <is>
          <t>new</t>
        </is>
      </c>
      <c r="U159" s="6" t="inlineStr">
        <is>
          <t>no</t>
        </is>
      </c>
      <c r="V159" s="6" t="n"/>
      <c r="W159" s="6" t="n"/>
      <c r="X159" s="6" t="n"/>
      <c r="Y159" s="6" t="n"/>
      <c r="Z159" s="6" t="n"/>
      <c r="AA159" s="6" t="n"/>
      <c r="AB159" s="6" t="n"/>
      <c r="AC159" s="6" t="n"/>
      <c r="AD159" s="6" t="n"/>
      <c r="AE159" s="6" t="n"/>
      <c r="AF159" s="6" t="n"/>
      <c r="AG159" s="6" t="n"/>
      <c r="AH159" s="6" t="n"/>
      <c r="AI159" s="6" t="n"/>
      <c r="AJ159" s="6" t="n"/>
      <c r="AK159" s="6" t="n"/>
      <c r="AL159" s="3" t="n">
        <v>500</v>
      </c>
    </row>
    <row r="160">
      <c r="A160" s="3" t="n">
        <v>170279</v>
      </c>
      <c r="B160" s="13" t="inlineStr">
        <is>
          <t>Snack-Beutel</t>
        </is>
      </c>
      <c r="C160" s="13" t="inlineStr">
        <is>
          <t>Die Nutzung ist flexibel, sei es als Bauchtasche, Umhängetasche oder mit Gürtelclip – ganz wie es für Sie praktisch und bequem ist.
Einfache Reinigung dank durchdachter Materialauswahl und intelligentem Aufbau.
PASST ALLES REIN: Der durchdachte Snackbeutel bietet mit seinen Taschen auch Platz für Schlüssel und Smartphone.
18 cm hoch, 13 cm breit und 5 cm tief</t>
        </is>
      </c>
      <c r="D160" s="6" t="inlineStr">
        <is>
          <t>in_stock</t>
        </is>
      </c>
      <c r="E160" s="6" t="n"/>
      <c r="F160" s="6" t="n"/>
      <c r="G160" s="11" t="inlineStr">
        <is>
          <t>https://www.fellkost.de/content/partners/466587/shop/shop/article/170279/snack-beutel_1_stueck_?category=62195</t>
        </is>
      </c>
      <c r="H160" s="6" t="n"/>
      <c r="I160" s="13" t="inlineStr">
        <is>
          <t>https://www.fellkost.de/static/content/e18829/e18831/e18851/e28916/e107839/image_shop1/ger/Snackbeutel_1_w480_h480_q90_jpg.jpg?checksum=d9fc449f7ffdea5e5127e3596c457452d1e6869d</t>
        </is>
      </c>
      <c r="J160" s="7" t="n">
        <v>19.99</v>
      </c>
      <c r="K160" s="6" t="n"/>
      <c r="L160" s="6" t="n"/>
      <c r="M160" s="6" t="inlineStr">
        <is>
          <t>no</t>
        </is>
      </c>
      <c r="N160" s="6" t="n"/>
      <c r="O160" s="6" t="n"/>
      <c r="P160" s="6" t="inlineStr">
        <is>
          <t>ANIfit</t>
        </is>
      </c>
      <c r="Q160" s="14" t="n"/>
      <c r="R160" s="6" t="n"/>
      <c r="S160" s="6" t="n"/>
      <c r="T160" s="6" t="inlineStr">
        <is>
          <t>new</t>
        </is>
      </c>
      <c r="U160" s="6" t="inlineStr">
        <is>
          <t>no</t>
        </is>
      </c>
      <c r="V160" s="6" t="n"/>
      <c r="W160" s="6" t="n"/>
      <c r="X160" s="6" t="n"/>
      <c r="Y160" s="6" t="n"/>
      <c r="Z160" s="6" t="n"/>
      <c r="AA160" s="6" t="n"/>
      <c r="AB160" s="6" t="n"/>
      <c r="AC160" s="6" t="n"/>
      <c r="AD160" s="6" t="n"/>
      <c r="AE160" s="6" t="n"/>
      <c r="AF160" s="6" t="n"/>
      <c r="AG160" s="6" t="n"/>
      <c r="AH160" s="6" t="n"/>
      <c r="AI160" s="6" t="n"/>
      <c r="AJ160" s="6" t="n"/>
      <c r="AK160" s="6" t="n"/>
      <c r="AL160" s="3" t="n">
        <v>500</v>
      </c>
    </row>
    <row r="161">
      <c r="A161" s="3" t="n">
        <v>298650</v>
      </c>
      <c r="B161" s="13" t="inlineStr">
        <is>
          <t>Restelöffel</t>
        </is>
      </c>
      <c r="C161" s="13" t="inlineStr">
        <is>
          <t>Der Anifit Restelöffel eignet sich mit seinem flexiblen Kopf perfekt, um die Anifit-Nahrung vollständig aus den Dosen zu entnehmen. Das Ergebnis ist ein voller Futternapf und eine praktisch vollständig entleerte Dose.
HinweisHitzebeständig bis 230° und spülmaschinenfestAus lebensmittelechtem Silikon und BPA-frei</t>
        </is>
      </c>
      <c r="D161" s="6" t="inlineStr">
        <is>
          <t>in_stock</t>
        </is>
      </c>
      <c r="E161" s="6" t="n"/>
      <c r="F161" s="6" t="n"/>
      <c r="G161" s="11" t="inlineStr">
        <is>
          <t>https://www.fellkost.de/content/partners/466587/shop/shop/article/298650/resteloeffel_1_stueck_?category=62195</t>
        </is>
      </c>
      <c r="H161" s="6" t="n"/>
      <c r="I161" s="13" t="inlineStr">
        <is>
          <t>https://www.fellkost.de/static/content/e18829/e18831/e18851/e19005/e122331/image_shop1/ger/Restel%C3%B6ffel-1_w480_h480_q90_jpg.jpg?checksum=f7c7556e100b06f13b29c0846796b641acb8c244</t>
        </is>
      </c>
      <c r="J161" s="7" t="n">
        <v>6.4</v>
      </c>
      <c r="K161" s="6" t="n"/>
      <c r="L161" s="6" t="n"/>
      <c r="M161" s="6" t="inlineStr">
        <is>
          <t>no</t>
        </is>
      </c>
      <c r="N161" s="6" t="n"/>
      <c r="O161" s="6" t="n"/>
      <c r="P161" s="6" t="inlineStr">
        <is>
          <t>ANIfit</t>
        </is>
      </c>
      <c r="Q161" s="14" t="n"/>
      <c r="R161" s="6" t="n"/>
      <c r="S161" s="6" t="n"/>
      <c r="T161" s="6" t="inlineStr">
        <is>
          <t>new</t>
        </is>
      </c>
      <c r="U161" s="6" t="inlineStr">
        <is>
          <t>no</t>
        </is>
      </c>
      <c r="V161" s="6" t="n"/>
      <c r="W161" s="6" t="n"/>
      <c r="X161" s="6" t="n"/>
      <c r="Y161" s="6" t="n"/>
      <c r="Z161" s="6" t="n"/>
      <c r="AA161" s="6" t="n"/>
      <c r="AB161" s="6" t="n"/>
      <c r="AC161" s="6" t="n"/>
      <c r="AD161" s="6" t="n"/>
      <c r="AE161" s="6" t="n"/>
      <c r="AF161" s="6" t="n"/>
      <c r="AG161" s="6" t="n"/>
      <c r="AH161" s="6" t="n"/>
      <c r="AI161" s="6" t="n"/>
      <c r="AJ161" s="6" t="n"/>
      <c r="AK161" s="6" t="n"/>
      <c r="AL161" s="3" t="n">
        <v>500</v>
      </c>
    </row>
    <row r="162">
      <c r="A162" s="3" t="n">
        <v>290602</v>
      </c>
      <c r="B162" s="14" t="inlineStr">
        <is>
          <t>Schnupperpaket Katzen 200g   | Anifit Nassfutter für Katzen</t>
        </is>
      </c>
      <c r="C162" s="13" t="inlineStr">
        <is>
          <t>6 verschiedene Anifit Katzengerichte:Die Dosengröße ist je nach gewähltem Paket 200g, 400g oder 810g
 Delice de Coeur Nautilus Ragout Eismeer Terinne Fish à la modePowertöpfchenPuterichs Delight
1 Testpackung Hühnerbrust1 Futterumstellungshilfe 15g Rotbarsch1 Futterumstellungshilfe 15g Hühnerherzen1 Ernährungsfibel1 Schnappdeckel</t>
        </is>
      </c>
      <c r="D162" s="6" t="inlineStr">
        <is>
          <t>in_stock</t>
        </is>
      </c>
      <c r="E162" s="6" t="n"/>
      <c r="F162" s="6" t="n"/>
      <c r="G162" s="11" t="inlineStr">
        <is>
          <t>https://www.fellkost.de/content/partners/466587/shop/shop/article/290602/schnupperpaket_katzen_200g_1_paket_mit_verschiedenen_sorten_testpackungen_?category=62197</t>
        </is>
      </c>
      <c r="H162" s="6" t="n"/>
      <c r="I162" s="13" t="inlineStr">
        <is>
          <t>https://www.fellkost.de/static/content/e18829/e18831/e18851/e18856/e117560/image_shop1/ger/Katze-200g-alles_w480_h480_q90_jpg.jpg?checksum=9b08ec521212d517313e3bb94e1f92736d2ed1c4</t>
        </is>
      </c>
      <c r="J162" s="7" t="n">
        <v>24.99</v>
      </c>
      <c r="K162" s="6" t="n"/>
      <c r="L162" s="6" t="n"/>
      <c r="M162" s="6" t="inlineStr">
        <is>
          <t>no</t>
        </is>
      </c>
      <c r="N162" s="6" t="n"/>
      <c r="O162" s="6" t="n"/>
      <c r="P162" s="6" t="inlineStr">
        <is>
          <t>ANIfit</t>
        </is>
      </c>
      <c r="Q162" s="14" t="n"/>
      <c r="R162" s="6" t="n"/>
      <c r="S162" s="6" t="n"/>
      <c r="T162" s="6" t="inlineStr">
        <is>
          <t>new</t>
        </is>
      </c>
      <c r="U162" s="6" t="inlineStr">
        <is>
          <t>no</t>
        </is>
      </c>
      <c r="V162" s="6" t="n"/>
      <c r="W162" s="6" t="n"/>
      <c r="X162" s="6" t="n"/>
      <c r="Y162" s="6" t="n"/>
      <c r="Z162" s="6" t="n"/>
      <c r="AA162" s="6" t="n"/>
      <c r="AB162" s="6" t="n"/>
      <c r="AC162" s="6" t="n"/>
      <c r="AD162" s="6" t="n"/>
      <c r="AE162" s="6" t="n"/>
      <c r="AF162" s="6" t="n"/>
      <c r="AG162" s="6" t="n"/>
      <c r="AH162" s="6" t="n"/>
      <c r="AI162" s="6" t="n"/>
      <c r="AJ162" s="6" t="n"/>
      <c r="AK162" s="6" t="n"/>
      <c r="AL162" s="3" t="n">
        <v>500</v>
      </c>
    </row>
    <row r="163">
      <c r="A163" s="3" t="n">
        <v>290681</v>
      </c>
      <c r="B163" s="14" t="inlineStr">
        <is>
          <t>Schnupperpaket Katzen 400g  | Anifit Nassfutter für Katzen</t>
        </is>
      </c>
      <c r="C163" s="13" t="inlineStr">
        <is>
          <t>6 verschiedene Anifit Katzengerichte:Die Dosengröße ist je nach gewähltem Paket 200g, 400g oder 810g
 Delice de Coeur Nautilus Ragout Eismeer Terinne Fish à la modePowertöpfchenPuterichs Delight
1 Testpackung Hühnerbrust1 Futterumstellungshilfe 15g Rotbarsch1 Futterumstellungshilfe 15g Hühnerherzen1 Ernährungsfibel1 Schnappdeckel</t>
        </is>
      </c>
      <c r="D163" s="6" t="inlineStr">
        <is>
          <t>in_stock</t>
        </is>
      </c>
      <c r="E163" s="6" t="n"/>
      <c r="F163" s="6" t="n"/>
      <c r="G163" s="11" t="inlineStr">
        <is>
          <t>https://www.fellkost.de/content/partners/466587/shop/shop/article/290681/schnupperpaket_katzen_400g_1_paket_mit_verschiedenen_sorten_testpackungen_</t>
        </is>
      </c>
      <c r="H163" s="6" t="n"/>
      <c r="I163" s="13" t="inlineStr">
        <is>
          <t>https://www.fellkost.de/static/content/e18829/e18831/e18851/e18856/e117561/image_shop1/ger/Katze-400g-alles_w480_h480_q90_jpg.jpg?checksum=14de4037727d30d8534dd987d2bd85a4d6a3c2ce</t>
        </is>
      </c>
      <c r="J163" s="7" t="n">
        <v>30.49</v>
      </c>
      <c r="K163" s="6" t="n"/>
      <c r="L163" s="6" t="n"/>
      <c r="M163" s="6" t="inlineStr">
        <is>
          <t>no</t>
        </is>
      </c>
      <c r="N163" s="6" t="n"/>
      <c r="O163" s="6" t="n"/>
      <c r="P163" s="6" t="inlineStr">
        <is>
          <t>ANIfit</t>
        </is>
      </c>
      <c r="Q163" s="14" t="n"/>
      <c r="R163" s="6" t="n"/>
      <c r="S163" s="6" t="n"/>
      <c r="T163" s="6" t="inlineStr">
        <is>
          <t>new</t>
        </is>
      </c>
      <c r="U163" s="6" t="inlineStr">
        <is>
          <t>no</t>
        </is>
      </c>
      <c r="V163" s="6" t="n"/>
      <c r="W163" s="6" t="n"/>
      <c r="X163" s="6" t="n"/>
      <c r="Y163" s="6" t="n"/>
      <c r="Z163" s="6" t="n"/>
      <c r="AA163" s="6" t="n"/>
      <c r="AB163" s="6" t="n"/>
      <c r="AC163" s="6" t="n"/>
      <c r="AD163" s="6" t="n"/>
      <c r="AE163" s="6" t="n"/>
      <c r="AF163" s="6" t="n"/>
      <c r="AG163" s="6" t="n"/>
      <c r="AH163" s="6" t="n"/>
      <c r="AI163" s="6" t="n"/>
      <c r="AJ163" s="6" t="n"/>
      <c r="AK163" s="6" t="n"/>
      <c r="AL163" s="3" t="n">
        <v>500</v>
      </c>
    </row>
    <row r="164">
      <c r="A164" s="3" t="n">
        <v>290760</v>
      </c>
      <c r="B164" s="14" t="inlineStr">
        <is>
          <t>Schnupperpaket Katzen 810g  | Anifit Nassfutter für Katzen</t>
        </is>
      </c>
      <c r="C164" s="13" t="inlineStr">
        <is>
          <t>6 verschiedene Anifit Katzengerichte:Die Dosengröße ist je nach gewähltem Paket 200g, 400g oder 810g
 Delice de Coeur Nautilus Ragout Eismeer Terinne Fish à la modePowertöpfchenPuterichs Delight
1 Testpackung Hühnerbrust1 Futterumstellungshilfe 15g Rotbarsch1 Futterumstellungshilfe 15g Hühnerherzen1 Ernährungsfibel1 Schnappdeckel</t>
        </is>
      </c>
      <c r="D164" s="6" t="inlineStr">
        <is>
          <t>in_stock</t>
        </is>
      </c>
      <c r="E164" s="6" t="n"/>
      <c r="F164" s="6" t="n"/>
      <c r="G164" s="11" t="inlineStr">
        <is>
          <t>https://www.fellkost.de/content/partners/466587/shop/shop/article/290760/schnupperpaket_katzen_810g_1_paket_mit_verschiedenen_sorten_testpackungen_</t>
        </is>
      </c>
      <c r="H164" s="6" t="n"/>
      <c r="I164" s="13" t="inlineStr">
        <is>
          <t>https://www.fellkost.de/static/content/e18829/e18831/e18851/e18856/e117562/image_shop1/ger/Katze-800g-Alles_w480_h480_q90_jpg.jpg?checksum=3ec752c6a5d08cc99068bedf026206c6ff57ccfa</t>
        </is>
      </c>
      <c r="J164" s="7" t="n">
        <v>39.99</v>
      </c>
      <c r="K164" s="6" t="n"/>
      <c r="L164" s="6" t="n"/>
      <c r="M164" s="6" t="inlineStr">
        <is>
          <t>no</t>
        </is>
      </c>
      <c r="N164" s="6" t="n"/>
      <c r="O164" s="6" t="n"/>
      <c r="P164" s="6" t="inlineStr">
        <is>
          <t>ANIfit</t>
        </is>
      </c>
      <c r="Q164" s="14" t="n"/>
      <c r="R164" s="6" t="n"/>
      <c r="S164" s="6" t="n"/>
      <c r="T164" s="6" t="inlineStr">
        <is>
          <t>new</t>
        </is>
      </c>
      <c r="U164" s="6" t="inlineStr">
        <is>
          <t>no</t>
        </is>
      </c>
      <c r="V164" s="6" t="n"/>
      <c r="W164" s="6" t="n"/>
      <c r="X164" s="6" t="n"/>
      <c r="Y164" s="6" t="n"/>
      <c r="Z164" s="6" t="n"/>
      <c r="AA164" s="6" t="n"/>
      <c r="AB164" s="6" t="n"/>
      <c r="AC164" s="6" t="n"/>
      <c r="AD164" s="6" t="n"/>
      <c r="AE164" s="6" t="n"/>
      <c r="AF164" s="6" t="n"/>
      <c r="AG164" s="6" t="n"/>
      <c r="AH164" s="6" t="n"/>
      <c r="AI164" s="6" t="n"/>
      <c r="AJ164" s="6" t="n"/>
      <c r="AK164" s="6" t="n"/>
      <c r="AL164" s="3" t="n">
        <v>500</v>
      </c>
    </row>
    <row r="165">
      <c r="A165" s="3" t="n">
        <v>279639</v>
      </c>
      <c r="B165" s="14" t="inlineStr">
        <is>
          <t>Futterumstellungspaket Katze  | Anifit Nassfutter für Katzen</t>
        </is>
      </c>
      <c r="C165" s="13" t="inlineStr">
        <is>
          <t>Unser Futterumstellungspaket umfasst bewährte Produkte, die Sie beim Start optimal unterstützen.
Futterumstellungspaket
12 Dosen Puterichs Delight 200g 6 Dosen Délice de Coeur 200g 2 Beutel Futterumstellungshilfe 15g Hühnerherzen 2 Beutel Futterumstellungshilfe 15g Rotbarsch 1 Leckerli Hühnerbrust 35g 1 Ernährungsfibel 1 Information zur Futterumstellung
Hinweis zur Futterumstellung
Bitte geben Sie Ihrem Liebling die Möglichkeit, sich an unsere Frischfleischnahrung zu gewöhnen. Je älter Ihr Tier und je größer der Unterschied zum neuen Futter ist, desto länger kann der Umstellungsprozess dauern. Die Umstellung dauert in der Regel eine Woche, kann aber auch zwei bis vier Wochen dauern.
Unser Tipp: Katzen sind durch Gerüche und bestimmte Zutaten wahrscheinlich auf das gewohnte Futter fixiert. Erfahrungsgemäß hilft es, die neue Nahrung in den ersten Tag mit der alten Nahrung zu mischen. Jedenfalls ist es sinnvoll, die Futterumstellung konsequent zu betreiben und sich nicht von anfänglichen Verweigerungen irritieren zu lassen. Räumen Sie nicht gefressenes Futter nach einer halben Stunde weg und warten Sie die nächste Mahlzeit ab.
Unsere Futterumstellungshilfen sind gefriergetrocknete Fleisch- bzw. Fischstücke in zerkleinerter Form. Diese sind extrem aromatisch und können in kleiner Menge über das Futter gestreut werden, um das Interesse der Katze zu erhöhen.</t>
        </is>
      </c>
      <c r="D165" s="6" t="inlineStr">
        <is>
          <t>in_stock</t>
        </is>
      </c>
      <c r="E165" s="6" t="n"/>
      <c r="F165" s="6" t="n"/>
      <c r="G165" s="11" t="inlineStr">
        <is>
          <t>https://www.fellkost.de/content/partners/466587/shop/shop/article/279639/futterumstellungspaket_katze_1_paket_?category=62197</t>
        </is>
      </c>
      <c r="H165" s="6" t="n"/>
      <c r="I165" s="13" t="inlineStr">
        <is>
          <t>https://www.fellkost.de/static/content/e18829/e18831/e18851/e18856/e112352/image_shop1/ger/Katzen-Futterumstellungspaket-1_w480_h480_q90_jpg.jpg?checksum=1c2b6bb5c696f9bfd3cf3776a009859ef5b0abf6</t>
        </is>
      </c>
      <c r="J165" s="7" t="n">
        <v>72.98999999999999</v>
      </c>
      <c r="K165" s="6" t="n"/>
      <c r="L165" s="6" t="n"/>
      <c r="M165" s="6" t="inlineStr">
        <is>
          <t>no</t>
        </is>
      </c>
      <c r="N165" s="6" t="n"/>
      <c r="O165" s="6" t="n"/>
      <c r="P165" s="6" t="inlineStr">
        <is>
          <t>ANIfit</t>
        </is>
      </c>
      <c r="Q165" s="6" t="n"/>
      <c r="R165" s="6" t="n"/>
      <c r="S165" s="6" t="n"/>
      <c r="T165" s="6" t="inlineStr">
        <is>
          <t>new</t>
        </is>
      </c>
      <c r="U165" s="6" t="inlineStr">
        <is>
          <t>no</t>
        </is>
      </c>
      <c r="V165" s="6" t="n"/>
      <c r="W165" s="6" t="n"/>
      <c r="X165" s="6" t="n"/>
      <c r="Y165" s="6" t="n"/>
      <c r="Z165" s="6" t="n"/>
      <c r="AA165" s="6" t="n"/>
      <c r="AB165" s="6" t="n"/>
      <c r="AC165" s="6" t="n"/>
      <c r="AD165" s="6" t="n"/>
      <c r="AE165" s="6" t="n"/>
      <c r="AF165" s="6" t="n"/>
      <c r="AG165" s="6" t="n"/>
      <c r="AH165" s="6" t="n"/>
      <c r="AI165" s="6" t="n"/>
      <c r="AJ165" s="6" t="n"/>
      <c r="AK165" s="6" t="n"/>
      <c r="AL165" s="3" t="n">
        <v>500</v>
      </c>
    </row>
    <row r="166">
      <c r="A166" s="3" t="n">
        <v>404966</v>
      </c>
      <c r="B166" s="14" t="inlineStr">
        <is>
          <t>BIO Steak Sensation 200g  | Anifit Nassfutter für Katzen</t>
        </is>
      </c>
      <c r="C166" s="13" t="inlineStr">
        <is>
          <t>Hergestellt aus 100 % biologischen Zutaten und produziert in Bayern, setzt dieses Nassfutter auf Rind als einzige Fleischquelle (Monoprotein).
Diese hochwertige Proteinquelle ist besonders schmackhaft und eignet sich besonders für aktive Katzen.
Mit einem Fleischanteil von 98 % liefert ANIfit Steak Sensation alle wichtigen Nährstoffe für ein vitales und glückliches Katzenleben – natürlich, nachhaltig und in bester Bio-Qualität.
Zusammensetzung
Rindermuskelfleisch (79 %): Zartes Fleisch aus biologischer Erzeugung, reich an hochwertigem Protein für starken Muskelaufbau und Zellerneuerung.
Rinderlunge (14 %): Eine fettarme, leicht verdauliche Proteinquelle, die wichtige Vitamine der B-Gruppe liefert.
Rinderleber (5 %): Liefert essenzielle Vitamine wie Vitamin A sowie Eisen und Zink, die das Immunsystem stärken und die Blutbildung fördern.
Mineralien und Bierhefe (&lt; 1 %): Sichern die Versorgung mit wichtigen Spurenelementen und B-Vitaminen, fördern ein glänzendes Fell und unterstützen die Nervenfunktion.
Warum Steak Sensation?
Bio-Qualität aus Bayern: Produziert aus 100 % ökologischen Zutaten, nachhaltig und regional hergestellt.
Hoher Fleischanteil: Mit 98 % Fleisch für eine artgerechte, naturnahe Ernährung.
Frei von Zusätzen: Ohne Konservierungsstoffe, Antioxidantien, künstliche Farb- und Aromastoffe oder Lockstoffe.
Für alle Katzen geeignet: Ideal für alle Altersstufen und Rassen – von Kitten bis Senior.
Fazit
Steak Sensation ist die ideale Wahl für Katzenbesitzer, die das Beste für ihre aktive Samtpfoten wollen. Dieses hochwertige Bio-Nassfutter bietet alles, was Ihre Katze für ein gesundes, vitales und glückliches Leben braucht.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66" s="6" t="inlineStr">
        <is>
          <t>in_stock</t>
        </is>
      </c>
      <c r="E166" s="6" t="n"/>
      <c r="F166" s="6" t="n"/>
      <c r="G166" s="11" t="inlineStr">
        <is>
          <t>https://www.fellkost.de/content/partners/466587/shop/shop/article/404966/bio_steak_sensation_200g_6_stueck_?category=62197</t>
        </is>
      </c>
      <c r="H166" s="6" t="n"/>
      <c r="I166" s="13" t="inlineStr">
        <is>
          <t>https://www.fellkost.de/static/content/e18829/e18831/e18851/e18856/e217907/image_shop1/ger/Katze%20Nassfutter%20Steak%20Sensation%20200g%201920%20x%201920_w480_h480_q90_jpg.jpg?checksum=efb659964c17335446100f3525ea4bb3ebeaedb3</t>
        </is>
      </c>
      <c r="J166" s="7" t="n">
        <v>23.49</v>
      </c>
      <c r="K166" s="6" t="n"/>
      <c r="L166" s="6" t="n"/>
      <c r="M166" s="6" t="inlineStr">
        <is>
          <t>no</t>
        </is>
      </c>
      <c r="N166" s="6" t="n"/>
      <c r="O166" s="6" t="n"/>
      <c r="P166" s="6" t="inlineStr">
        <is>
          <t>ANIfit</t>
        </is>
      </c>
      <c r="Q166" s="13" t="n"/>
      <c r="R166" s="6" t="n"/>
      <c r="S166" s="6" t="n"/>
      <c r="T166" s="6" t="inlineStr">
        <is>
          <t>new</t>
        </is>
      </c>
      <c r="U166" s="6" t="inlineStr">
        <is>
          <t>no</t>
        </is>
      </c>
      <c r="V166" s="6" t="n"/>
      <c r="W166" s="6" t="n"/>
      <c r="X166" s="6" t="n"/>
      <c r="Y166" s="6" t="n"/>
      <c r="Z166" s="6" t="n"/>
      <c r="AA166" s="6" t="n"/>
      <c r="AB166" s="6" t="n"/>
      <c r="AC166" s="6" t="n"/>
      <c r="AD166" s="6" t="n"/>
      <c r="AE166" s="6" t="n"/>
      <c r="AF166" s="6" t="n"/>
      <c r="AG166" s="6" t="n"/>
      <c r="AH166" s="6" t="n"/>
      <c r="AI166" s="6" t="n"/>
      <c r="AJ166" s="6" t="n"/>
      <c r="AK166" s="6" t="n"/>
      <c r="AL166" s="3" t="n">
        <v>500</v>
      </c>
    </row>
    <row r="167">
      <c r="A167" s="3" t="n">
        <v>405046</v>
      </c>
      <c r="B167" s="14" t="inlineStr">
        <is>
          <t>BIO Steak Sensation 400g  | Anifit Nassfutter für Katzen</t>
        </is>
      </c>
      <c r="C167" s="13" t="inlineStr">
        <is>
          <t>Hergestellt aus 100 % biologischen Zutaten und produziert in Bayern, setzt dieses Nassfutter auf Rind als einzige Fleischquelle (Monoprotein).
Diese hochwertige Proteinquelle ist besonders schmackhaft und eignet sich besonders für aktive Katzen.
Mit einem Fleischanteil von 98 % liefert ANIfit Steak Sensation alle wichtigen Nährstoffe für ein vitales und glückliches Katzenleben – natürlich, nachhaltig und in bester Bio-Qualität.
Zusammensetzung – Natürlich und hochwertig
Rindermuskelfleisch (79 %): Zartes Fleisch aus biologischer Erzeugung, reich an hochwertigem Protein für starken Muskelaufbau und Zellerneuerung.
Rinderlunge (14 %): Eine fettarme, leicht verdauliche Proteinquelle, die wichtige Vitamine der B-Gruppe liefert.
Rinderleber (5 %): Liefert essenzielle Vitamine wie Vitamin A sowie Eisen und Zink, die das Immunsystem stärken und die Blutbildung fördern.
Mineralien und Bierhefe (&lt; 1 %): Sichern die Versorgung mit wichtigen Spurenelementen und B-Vitaminen, fördern ein glänzendes Fell und unterstützen die Nervenfunktion.
Warum Steak Sensation?
Bio-Qualität aus Bayern: Produziert aus 100 % ökologischen Zutaten, nachhaltig und regional hergestellt.
Hoher Fleischanteil: Mit 98 % Fleisch für eine artgerechte, naturnahe Ernährung.
Frei von Zusätzen: Ohne Konservierungsstoffe, Antioxidantien, künstliche Farb- und Aromastoffe oder Lockstoffe.
Für alle Katzen geeignet: Ideal für alle Altersstufen und Rassen – von Kitten bis Senior.
Fazit
Steak Sensation ist die ideale Wahl für Katzenbesitzer, die das Beste für ihre aktive Samtpfoten wollen. Dieses hochwertige Bio-Nassfutter bietet alles, was Ihre Katze für ein gesundes, vitales und glückliches Leben braucht.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67" s="6" t="inlineStr">
        <is>
          <t>in_stock</t>
        </is>
      </c>
      <c r="E167" s="6" t="n"/>
      <c r="F167" s="6" t="n"/>
      <c r="G167" s="11" t="inlineStr">
        <is>
          <t>https://www.fellkost.de/content/partners/466587/shop/shop/article/405046/bio_steak_sensation_400g_6_stueck_</t>
        </is>
      </c>
      <c r="H167" s="6" t="n"/>
      <c r="I167" s="13" t="inlineStr">
        <is>
          <t>https://www.fellkost.de/static/content/e18829/e18831/e18851/e18856/e217908/image_shop1/ger/Katze%20Nassfutter%20Steak%20Sensation%20400g%201920%20x%201920_w480_h480_q90_jpg.jpg?checksum=8f0193a728ce38e08d3ead1ef33e2bc9ec0a7144</t>
        </is>
      </c>
      <c r="J167" s="7" t="n">
        <v>32.49</v>
      </c>
      <c r="K167" s="6" t="n"/>
      <c r="L167" s="6" t="n"/>
      <c r="M167" s="6" t="inlineStr">
        <is>
          <t>no</t>
        </is>
      </c>
      <c r="N167" s="6" t="n"/>
      <c r="O167" s="6" t="n"/>
      <c r="P167" s="6" t="inlineStr">
        <is>
          <t>ANIfit</t>
        </is>
      </c>
      <c r="Q167" s="13" t="n"/>
      <c r="R167" s="6" t="n"/>
      <c r="S167" s="6" t="n"/>
      <c r="T167" s="6" t="inlineStr">
        <is>
          <t>new</t>
        </is>
      </c>
      <c r="U167" s="6" t="inlineStr">
        <is>
          <t>no</t>
        </is>
      </c>
      <c r="V167" s="6" t="n"/>
      <c r="W167" s="6" t="n"/>
      <c r="X167" s="6" t="n"/>
      <c r="Y167" s="6" t="n"/>
      <c r="Z167" s="6" t="n"/>
      <c r="AA167" s="6" t="n"/>
      <c r="AB167" s="6" t="n"/>
      <c r="AC167" s="6" t="n"/>
      <c r="AD167" s="6" t="n"/>
      <c r="AE167" s="6" t="n"/>
      <c r="AF167" s="6" t="n"/>
      <c r="AG167" s="6" t="n"/>
      <c r="AH167" s="6" t="n"/>
      <c r="AI167" s="6" t="n"/>
      <c r="AJ167" s="6" t="n"/>
      <c r="AK167" s="6" t="n"/>
      <c r="AL167" s="3" t="n">
        <v>500</v>
      </c>
    </row>
    <row r="168">
      <c r="A168" s="3" t="n">
        <v>405126</v>
      </c>
      <c r="B168" s="14" t="inlineStr">
        <is>
          <t>BIO Steak Sensation 810g  | Anifit Nassfutter für Katzen</t>
        </is>
      </c>
      <c r="C168" s="13" t="inlineStr">
        <is>
          <t>Hergestellt aus 100 % biologischen Zutaten und produziert in Bayern, setzt dieses Nassfutter auf Rind als einzige Fleischquelle (Monoprotein).
Diese hochwertige Proteinquelle ist besonders schmackhaft und eignet sich besonders für aktive Katzen.
Mit einem Fleischanteil von 98 % liefert Steak Sensation alle wichtigen Nährstoffe für ein vitales und glückliches Katzenleben – natürlich, nachhaltig und in bester Bio-Qualität.
Zusammensetzung
Rindermuskelfleisch (79 %): Zartes Fleisch aus biologischer Erzeugung, reich an hochwertigem Protein für starken Muskelaufbau und Zellerneuerung.
Rinderlunge (14 %): Eine fettarme, leicht verdauliche Proteinquelle, die wichtige Vitamine der B-Gruppe liefert.
Rinderleber (5 %): Liefert essenzielle Vitamine wie Vitamin A sowie Eisen und Zink, die das Immunsystem stärken und die Blutbildung fördern.
Mineralien und Bierhefe (&lt; 1 %): Sichern die Versorgung mit wichtigen Spurenelementen und B-Vitaminen, fördern ein glänzendes Fell und unterstützen die Nervenfunktion.
Warum Steak Sensation?
Bio-Qualität aus Bayern: Produziert aus 100 % ökologischen Zutaten, nachhaltig und regional hergestellt.
Hoher Fleischanteil: Mit 98 % Fleisch für eine artgerechte, naturnahe Ernährung.
Frei von Zusätzen: Ohne Konservierungsstoffe, Antioxidantien, künstliche Farb- und Aromastoffe oder Lockstoffe.
Für alle Katzen geeignet: Ideal für alle Altersstufen und Rassen – von Kitten bis Senior.
Fazit
Steak Sensation ist die ideale Wahl für Katzenbesitzer, die das Beste für ihre aktive Samtpfoten wollen. Dieses hochwertige Bio-Nassfutter bietet alles, was Ihre Katze für ein gesundes, vitales und glückliches Leben braucht.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68" s="6" t="inlineStr">
        <is>
          <t>in_stock</t>
        </is>
      </c>
      <c r="E168" s="6" t="n"/>
      <c r="F168" s="6" t="n"/>
      <c r="G168" s="11" t="inlineStr">
        <is>
          <t>https://www.fellkost.de/content/partners/466587/shop/shop/article/405126/bio_steak_sensation_800g_6_stueck_</t>
        </is>
      </c>
      <c r="H168" s="6" t="n"/>
      <c r="I168" s="13" t="inlineStr">
        <is>
          <t>https://www.fellkost.de/static/content/e18829/e18831/e18851/e18856/e217909/image_shop1/ger/Katze%20Nassfutter%20Steak%20Sensation%20810%20g%201920%20x%201920_w480_h480_q90_jpg.jpg?checksum=2053f39e0494020cf816373c0fb01f6864af8e85</t>
        </is>
      </c>
      <c r="J168" s="7" t="n">
        <v>43.99</v>
      </c>
      <c r="K168" s="6" t="n"/>
      <c r="L168" s="6" t="n"/>
      <c r="M168" s="6" t="inlineStr">
        <is>
          <t>no</t>
        </is>
      </c>
      <c r="N168" s="6" t="n"/>
      <c r="O168" s="6" t="n"/>
      <c r="P168" s="6" t="inlineStr">
        <is>
          <t>ANIfit</t>
        </is>
      </c>
      <c r="Q168" s="14" t="n"/>
      <c r="R168" s="6" t="n"/>
      <c r="S168" s="6" t="n"/>
      <c r="T168" s="6" t="inlineStr">
        <is>
          <t>new</t>
        </is>
      </c>
      <c r="U168" s="6" t="inlineStr">
        <is>
          <t>no</t>
        </is>
      </c>
      <c r="V168" s="6" t="n"/>
      <c r="W168" s="6" t="n"/>
      <c r="X168" s="6" t="n"/>
      <c r="Y168" s="6" t="n"/>
      <c r="Z168" s="6" t="n"/>
      <c r="AA168" s="6" t="n"/>
      <c r="AB168" s="6" t="n"/>
      <c r="AC168" s="6" t="n"/>
      <c r="AD168" s="6" t="n"/>
      <c r="AE168" s="6" t="n"/>
      <c r="AF168" s="6" t="n"/>
      <c r="AG168" s="6" t="n"/>
      <c r="AH168" s="6" t="n"/>
      <c r="AI168" s="6" t="n"/>
      <c r="AJ168" s="6" t="n"/>
      <c r="AK168" s="6" t="n"/>
      <c r="AL168" s="3" t="n">
        <v>500</v>
      </c>
    </row>
    <row r="169">
      <c r="A169" s="3" t="n">
        <v>405206</v>
      </c>
      <c r="B169" s="14" t="inlineStr">
        <is>
          <t>BIO EntenEnergie 200g  | Anifit Nassfutter für Katzen</t>
        </is>
      </c>
      <c r="C169" s="13" t="inlineStr">
        <is>
          <t>Die selten verwendete Fleischsorte Bio-Ente, kombiniert mit Zutaten aus kontrolliert biologischem Anbau, macht dieses Gericht zu einem besonderen Genuss für jede Katze.
Das Futter überzeugt durch seine Verträglichkeit und außergewöhnlich hohen Fleischanteil von 98 %. Die Rezeptur dieses Alleinfuttermittels ist speziell auf die Bedürfnisse von Katzen abgestimmt: artgerecht, gesund und unwiderstehlich lecker.
Zusammensetzung 
Entenmuskelfleisch (83 %): Eine leicht verdauliche und schmackhafte Eiweißquelle, die essenzielle Aminosäuren für den Muskelaufbau liefert.
Entenleber (5 %): Reich an Vitamin A, Eisen und Zink – für ein starkes Immunsystem und gesunde Blutbildung.
Entenhals (10 %): Liefert natürliches Kalzium und fördert die Zahngesundheit.
Anteile &lt; 1 %:
Bierhefe: Unterstützt die Verdauung und stärkt Haut und Fell mit B-Vitaminen.
Mineralien: Für eine optimale Versorgung mit wichtigen Spurenelementen.
Reishi: Der Vitalpilz stärkt das Immunsystem und wirkt antioxidativ.
Warum Bio-Ente von ANIfit?
Besonders verträglich: Die selten verwendete Fleischsorte Ente ist ideal für Katzen mit empfindlicher Verdauung oder Futtermittelunverträglichkeiten.
Hoher Fleischanteil: Mit 98 % Fleisch liefert dieses Nassfutter hochwertige Proteine und essenzielle Nährstoffe (Alleinfuttermittel).
Bio-Qualität: Ausschließlich Zutaten aus kontrolliert biologischer Erzeugung – für eine nachhaltige und natürliche Ernährung.
Natürlich und rein: Frei von künstlichen Zusatzstoffen, Konservierungsmitteln, Farb- und Lockstoffen.
Für jede Katze geeignet: Ob Kitten, Adult oder Senior – die Rezeptur deckt den Nährstoffbedarf in jeder Lebensphase.
Fazit 
Bio-Ente von ANIfit ist die ideale Wahl für Katzenliebhaber, die Abwechslung für ihre Samtpfoten wollen. Mit ihrem außergewöhnlichen Geschmack, der schonenden Rezeptur und den hochwertigen, biologischen Zutaten unterstützt diese Mahlzeit ein vitales und glückliches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69" s="6" t="inlineStr">
        <is>
          <t>in_stock</t>
        </is>
      </c>
      <c r="E169" s="6" t="n"/>
      <c r="F169" s="6" t="n"/>
      <c r="G169" s="11" t="inlineStr">
        <is>
          <t>https://www.fellkost.de/content/partners/466587/shop/shop/article/405206/bio_entenenergie_200g_6_stueck_?category=62197</t>
        </is>
      </c>
      <c r="H169" s="6" t="n"/>
      <c r="I169" s="13" t="inlineStr">
        <is>
          <t>https://www.fellkost.de/static/content/e18829/e18831/e18851/e18856/e217910/image_shop1/ger/Katze%20Nassfutter%20EntenEnergie%20200g%201920%20x%201920_w480_h480_q90_jpg.jpg?checksum=d7910ae4b86ea3a2720f825f278f8c494dcb73e7</t>
        </is>
      </c>
      <c r="J169" s="7" t="n">
        <v>23.49</v>
      </c>
      <c r="K169" s="6" t="n"/>
      <c r="L169" s="6" t="n"/>
      <c r="M169" s="6" t="inlineStr">
        <is>
          <t>no</t>
        </is>
      </c>
      <c r="N169" s="6" t="n"/>
      <c r="O169" s="6" t="n"/>
      <c r="P169" s="6" t="inlineStr">
        <is>
          <t>ANIfit</t>
        </is>
      </c>
      <c r="Q169" s="13" t="n"/>
      <c r="R169" s="6" t="n"/>
      <c r="S169" s="6" t="n"/>
      <c r="T169" s="6" t="inlineStr">
        <is>
          <t>new</t>
        </is>
      </c>
      <c r="U169" s="6" t="inlineStr">
        <is>
          <t>no</t>
        </is>
      </c>
      <c r="V169" s="6" t="n"/>
      <c r="W169" s="6" t="n"/>
      <c r="X169" s="6" t="n"/>
      <c r="Y169" s="6" t="n"/>
      <c r="Z169" s="6" t="n"/>
      <c r="AA169" s="6" t="n"/>
      <c r="AB169" s="6" t="n"/>
      <c r="AC169" s="6" t="n"/>
      <c r="AD169" s="6" t="n"/>
      <c r="AE169" s="6" t="n"/>
      <c r="AF169" s="6" t="n"/>
      <c r="AG169" s="6" t="n"/>
      <c r="AH169" s="6" t="n"/>
      <c r="AI169" s="6" t="n"/>
      <c r="AJ169" s="6" t="n"/>
      <c r="AK169" s="6" t="n"/>
      <c r="AL169" s="3" t="n">
        <v>500</v>
      </c>
    </row>
    <row r="170">
      <c r="A170" s="3" t="n">
        <v>405286</v>
      </c>
      <c r="B170" s="14" t="inlineStr">
        <is>
          <t>BIO EntenEnergie 400g  | Anifit Nassfutter für Katzen</t>
        </is>
      </c>
      <c r="C170" s="13" t="inlineStr">
        <is>
          <t>Die selten verwendete Fleischsorte Bio-Ente, kombiniert mit Zutaten aus kontrolliert biologischem Anbau, macht dieses Gericht zu einem besonderen Genuss für jede Katze.
Das Futter überzeugt durch seine Verträglichkeit und außergewöhnlich hohen Fleischanteil von 98 %. Die Rezeptur dieses Alleinfuttermittels ist speziell auf die Bedürfnisse von Katzen abgestimmt: artgerecht, gesund und unwiderstehlich lecker.
Zusammensetzung 
Entenmuskelfleisch (83 %): Eine leicht verdauliche und schmackhafte Eiweißquelle, die essenzielle Aminosäuren für den Muskelaufbau liefert.
Entenleber (5 %): Reich an Vitamin A, Eisen und Zink – für ein starkes Immunsystem und gesunde Blutbildung.
Entenhals (10 %): Liefert natürliches Kalzium und fördert die Zahngesundheit.
Anteile &lt; 1 %:
Bierhefe: Unterstützt die Verdauung und stärkt Haut und Fell mit B-Vitaminen.
Mineralien: Für eine optimale Versorgung mit wichtigen Spurenelementen.
Reishi: Der Vitalpilz stärkt das Immunsystem und wirkt antioxidativ.
Warum Bio-Ente von ANIfit?
Besonders verträglich: Die selten verwendete Fleischsorte Ente ist ideal für Katzen mit empfindlicher Verdauung oder Futtermittelunverträglichkeiten.
Hoher Fleischanteil: Mit 98 % Fleisch liefert dieses Nassfutter hochwertige Proteine und essenzielle Nährstoffe (Alleinfuttermittel).
Bio-Qualität: Ausschließlich Zutaten aus kontrolliert biologischer Erzeugung – für eine nachhaltige und natürliche Ernährung.
Natürlich und rein: Frei von künstlichen Zusatzstoffen, Konservierungsmitteln, Farb- und Lockstoffen.
Für jede Katze geeignet: Ob Kitten, Adult oder Senior – die Rezeptur deckt den Nährstoffbedarf in jeder Lebensphase.
Fazit 
Bio-Ente von ANIfit ist die ideale Wahl für Katzenliebhaber, die Abwechslung für ihre Samtpfoten wollen. Mit ihrem außergewöhnlichen Geschmack, der schonenden Rezeptur und den hochwertigen, biologischen Zutaten unterstützt diese Mahlzeit ein vitales und glückliches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0" s="6" t="inlineStr">
        <is>
          <t>in_stock</t>
        </is>
      </c>
      <c r="E170" s="6" t="n"/>
      <c r="F170" s="6" t="n"/>
      <c r="G170" s="11" t="inlineStr">
        <is>
          <t>https://www.fellkost.de/content/partners/466587/shop/shop/article/405286/bio_entenenergie_400g_6_stueck_</t>
        </is>
      </c>
      <c r="H170" s="6" t="n"/>
      <c r="I170" s="13" t="inlineStr">
        <is>
          <t>https://www.fellkost.de/static/content/e18829/e18831/e18851/e18856/e217911/image_shop1/ger/Katze%20Nassfutter%20EntenEnergie%20400g%201920%20x%201920_w480_h480_q90_jpg.jpg?checksum=008c56ddba0e818d468639ff6edd90256500864e</t>
        </is>
      </c>
      <c r="J170" s="7" t="n">
        <v>32.49</v>
      </c>
      <c r="K170" s="6" t="n"/>
      <c r="L170" s="6" t="n"/>
      <c r="M170" s="6" t="inlineStr">
        <is>
          <t>no</t>
        </is>
      </c>
      <c r="N170" s="6" t="n"/>
      <c r="O170" s="6" t="n"/>
      <c r="P170" s="6" t="inlineStr">
        <is>
          <t>ANIfit</t>
        </is>
      </c>
      <c r="Q170" s="13" t="n"/>
      <c r="R170" s="6" t="n"/>
      <c r="S170" s="6" t="n"/>
      <c r="T170" s="6" t="inlineStr">
        <is>
          <t>new</t>
        </is>
      </c>
      <c r="U170" s="6" t="inlineStr">
        <is>
          <t>no</t>
        </is>
      </c>
      <c r="V170" s="6" t="n"/>
      <c r="W170" s="6" t="n"/>
      <c r="X170" s="6" t="n"/>
      <c r="Y170" s="6" t="n"/>
      <c r="Z170" s="6" t="n"/>
      <c r="AA170" s="6" t="n"/>
      <c r="AB170" s="6" t="n"/>
      <c r="AC170" s="6" t="n"/>
      <c r="AD170" s="6" t="n"/>
      <c r="AE170" s="6" t="n"/>
      <c r="AF170" s="6" t="n"/>
      <c r="AG170" s="6" t="n"/>
      <c r="AH170" s="6" t="n"/>
      <c r="AI170" s="6" t="n"/>
      <c r="AJ170" s="6" t="n"/>
      <c r="AK170" s="6" t="n"/>
      <c r="AL170" s="3" t="n">
        <v>500</v>
      </c>
    </row>
    <row r="171">
      <c r="A171" s="3" t="n">
        <v>405366</v>
      </c>
      <c r="B171" s="14" t="inlineStr">
        <is>
          <t>BIO EntenEnergie 810g  | Anifit Nassfutter für Katzen</t>
        </is>
      </c>
      <c r="C171" s="13" t="inlineStr">
        <is>
          <t>Die selten verwendete Fleischsorte Bio-Ente, kombiniert mit Zutaten aus kontrolliert biologischem Anbau, macht dieses Gericht zu einem besonderen Genuss für jede Katze.
Das Futter überzeugt durch seine Verträglichkeit und außergewöhnlich hohen Fleischanteil von 98 %. Die Rezeptur dieses Alleinfuttermittels ist speziell auf die Bedürfnisse von Katzen abgestimmt: artgerecht, gesund und unwiderstehlich lecker.
Zusammensetzung 
Entenmuskelfleisch (83 %): Eine leicht verdauliche und schmackhafte Eiweißquelle, die essenzielle Aminosäuren für den Muskelaufbau liefert.
Entenleber (5 %): Reich an Vitamin A, Eisen und Zink – für ein starkes Immunsystem und gesunde Blutbildung.
Entenhals (10 %): Liefert natürliches Kalzium und fördert die Zahngesundheit.
Anteile &lt; 1 %:
Bierhefe: Unterstützt die Verdauung und stärkt Haut und Fell mit B-Vitaminen.
Mineralien: Für eine optimale Versorgung mit wichtigen Spurenelementen.
Reishi: Der Vitalpilz stärkt das Immunsystem und wirkt antioxidativ.
Warum Bio-Ente von ANIfit?
Besonders verträglich: Die selten verwendete Fleischsorte Ente ist ideal für Katzen mit empfindlicher Verdauung oder Futtermittelunverträglichkeiten.
Hoher Fleischanteil: Mit 98 % Fleisch liefert dieses Nassfutter hochwertige Proteine und essenzielle Nährstoffe (Alleinfuttermittel).
Bio-Qualität: Ausschließlich Zutaten aus kontrolliert biologischer Erzeugung – für eine nachhaltige und natürliche Ernährung.
Natürlich und rein: Frei von künstlichen Zusatzstoffen, Konservierungsmitteln, Farb- und Lockstoffen.
Für jede Katze geeignet: Ob Kitten, Adult oder Senior – die Rezeptur deckt den Nährstoffbedarf in jeder Lebensphase.
Fazit 
Bio-Ente von ANIfit ist die ideale Wahl für Katzenliebhaber, die Abwechslung für ihre Samtpfoten wollen. Mit ihrem außergewöhnlichen Geschmack, der schonenden Rezeptur und den hochwertigen, biologischen Zutaten unterstützt diese Mahlzeit ein vitales und glückliches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1" s="6" t="inlineStr">
        <is>
          <t>in_stock</t>
        </is>
      </c>
      <c r="E171" s="6" t="n"/>
      <c r="F171" s="6" t="n"/>
      <c r="G171" s="11" t="inlineStr">
        <is>
          <t>https://www.fellkost.de/content/partners/466587/shop/shop/article/405366/bio_entenenergie_800g_6_stueck_</t>
        </is>
      </c>
      <c r="H171" s="6" t="n"/>
      <c r="I171" s="13" t="inlineStr">
        <is>
          <t>https://www.fellkost.de/static/content/e18829/e18831/e18851/e18856/e217912/image_shop1/ger/Katze%20Nassfutter%20EntenEnergie%20810%20g%201920%20x%201920_w480_h480_q90_jpg.jpg?checksum=54c6cab762b6dfc416373bbebbfcab8e0e161a70</t>
        </is>
      </c>
      <c r="J171" s="7" t="n">
        <v>43.99</v>
      </c>
      <c r="K171" s="6" t="n"/>
      <c r="L171" s="6" t="n"/>
      <c r="M171" s="6" t="inlineStr">
        <is>
          <t>no</t>
        </is>
      </c>
      <c r="N171" s="6" t="n"/>
      <c r="O171" s="6" t="n"/>
      <c r="P171" s="6" t="inlineStr">
        <is>
          <t>ANIfit</t>
        </is>
      </c>
      <c r="Q171" s="14" t="n"/>
      <c r="R171" s="6" t="n"/>
      <c r="S171" s="6" t="n"/>
      <c r="T171" s="6" t="inlineStr">
        <is>
          <t>new</t>
        </is>
      </c>
      <c r="U171" s="6" t="inlineStr">
        <is>
          <t>no</t>
        </is>
      </c>
      <c r="V171" s="6" t="n"/>
      <c r="W171" s="6" t="n"/>
      <c r="X171" s="6" t="n"/>
      <c r="Y171" s="6" t="n"/>
      <c r="Z171" s="6" t="n"/>
      <c r="AA171" s="6" t="n"/>
      <c r="AB171" s="6" t="n"/>
      <c r="AC171" s="6" t="n"/>
      <c r="AD171" s="6" t="n"/>
      <c r="AE171" s="6" t="n"/>
      <c r="AF171" s="6" t="n"/>
      <c r="AG171" s="6" t="n"/>
      <c r="AH171" s="6" t="n"/>
      <c r="AI171" s="6" t="n"/>
      <c r="AJ171" s="6" t="n"/>
      <c r="AK171" s="6" t="n"/>
      <c r="AL171" s="3" t="n">
        <v>500</v>
      </c>
    </row>
    <row r="172">
      <c r="A172" s="3" t="n">
        <v>11239</v>
      </c>
      <c r="B172" s="14" t="inlineStr">
        <is>
          <t>Fisch à la Mode 200g  | Anifit Nassfutter für Katzen</t>
        </is>
      </c>
      <c r="C172" s="13" t="inlineStr">
        <is>
          <t>Fisch à la Mode bietet eine exquisite Kombination aus drei Fleisch- und zwei Fischsorten. Katzen lieben diese Geschmacksvielfalt. Gleichzeitig liefert diese Mahlzeit eine Fülle an Vitalstoffen.
Diese Rezeptur wurde speziell entwickelt, um den natürlichen Ernährungsbedürfnissen von Katzen gerecht zu werden.
Mit einem hohen Anteil von 99 % Fleisch und Fisch ist dieses Alleinfuttermittel besonders nahrhaft, leicht verdaulich und unwiderstehlich lecker.
Zusammensetzung 
Fisch (32%) – Lachs und Weißfisch: Reich an Omega-3-Fettsäuren, die für ein glänzendes Fell, gesunde Haut und eine starke Immunabwehr sorgen.
Hühnermuskelfleisch (31 %): Eine fettarme Proteinquelle, die essenzielle Aminosäuren für den Muskelaufbau liefert.
Rentiermuskelfleisch (7 %): Eine seltene, nährstoffreiche Fleischsorte, die mit hochwertigem Eiweiß und Eisen das Immunsystem stärkt.
Rinderlunge (18 %): Leicht verdaulich und reich an B-Vitaminen für mehr Vitalität.
Rinderleber (11 %): Liefert natürliches Vitamin A, Eisen und Zink für gesunde Blutbildung und ein starkes Immunsystem.
Anteile &lt; 1 %:
Tomatenpulver und Hagebutte: Natürliche Antioxidantien zur Unterstützung der Zellgesundheit.
Kalzium und Salz: Fördern starke Knochen und einen ausgeglichenen Mineralstoffhaushalt.
Warum Fisch à la Mode von ANIfit?
Einzigartige Mischung: Drei Fleisch- und zwei Fischsorten sorgen für eine abwechslungsreiche und geschmackvolle Ernährung.
Hoher Fleisch- und Fischanteil: Mit 99 % liefert dieses Nassfutter essenzielle Nährstoffe und hochwertige Proteine.
Reich an Omega-3: Unterstützt die Haut- und Fellgesundheit und wirkt entzündungshemmend.
Natürlich und rein: Frei von künstlichen Zusätzen, Farb- und Lockstoffen sowie Konservierungsmitteln.
Für alle Lebensphasen geeignet: Ob Kitten, Adult oder Senior – die Rezeptur deckt den Nährstoffbedarf in jeder Lebensphase.
Fazit 
Fisch à la Mode vereint die Vorzüge von Fleisch und Fisch in einer ausgewogenen Rezeptur, die sowohl geschmacklich als auch ernährungsphysiologisch überzeugt. Diese Mahlzeit bietet alles, was Ihre Katze für ein vitales und glückliches Leben braucht – mit einer Extraportion Abwechslung und Geschmack.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2" s="6" t="inlineStr">
        <is>
          <t>in_stock</t>
        </is>
      </c>
      <c r="E172" s="6" t="n"/>
      <c r="F172" s="6" t="n"/>
      <c r="G172" s="11" t="inlineStr">
        <is>
          <t>https://www.fellkost.de/content/partners/466587/shop/shop/article/11239/fisch_la_mode_200g_6_stueck_?category=62197</t>
        </is>
      </c>
      <c r="H172" s="6" t="n"/>
      <c r="I172" s="13" t="inlineStr">
        <is>
          <t>https://www.fellkost.de/static/content/e18829/e18831/e18851/e18856/e18859/image_shop1/ger/Hunde%20Nassfutter%20Fisch%20a%20la%20Mode%20%20200%20g%201920%20x%201920_w480_h480_q90_jpg.jpg?checksum=e413582aa26410bce6e5608c3f75de1ee7d93168</t>
        </is>
      </c>
      <c r="J172" s="7" t="n">
        <v>19.49</v>
      </c>
      <c r="K172" s="6" t="n"/>
      <c r="L172" s="6" t="n"/>
      <c r="M172" s="6" t="inlineStr">
        <is>
          <t>no</t>
        </is>
      </c>
      <c r="N172" s="6" t="n"/>
      <c r="O172" s="6" t="n"/>
      <c r="P172" s="6" t="inlineStr">
        <is>
          <t>ANIfit</t>
        </is>
      </c>
      <c r="Q172" s="14" t="n"/>
      <c r="R172" s="6" t="n"/>
      <c r="S172" s="6" t="n"/>
      <c r="T172" s="6" t="inlineStr">
        <is>
          <t>new</t>
        </is>
      </c>
      <c r="U172" s="6" t="inlineStr">
        <is>
          <t>no</t>
        </is>
      </c>
      <c r="V172" s="6" t="n"/>
      <c r="W172" s="6" t="n"/>
      <c r="X172" s="6" t="n"/>
      <c r="Y172" s="6" t="n"/>
      <c r="Z172" s="6" t="n"/>
      <c r="AA172" s="6" t="n"/>
      <c r="AB172" s="6" t="n"/>
      <c r="AC172" s="6" t="n"/>
      <c r="AD172" s="6" t="n"/>
      <c r="AE172" s="6" t="n"/>
      <c r="AF172" s="6" t="n"/>
      <c r="AG172" s="6" t="n"/>
      <c r="AH172" s="6" t="n"/>
      <c r="AI172" s="6" t="n"/>
      <c r="AJ172" s="6" t="n"/>
      <c r="AK172" s="6" t="n"/>
      <c r="AL172" s="3" t="n">
        <v>500</v>
      </c>
    </row>
    <row r="173">
      <c r="A173" s="3" t="n">
        <v>11241</v>
      </c>
      <c r="B173" s="14" t="inlineStr">
        <is>
          <t>Fisch à la Mode 400g  | Anifit Nassfutter für Katzen</t>
        </is>
      </c>
      <c r="C173" s="13" t="inlineStr">
        <is>
          <t>Fisch à la Mode bietet eine exquisite Kombination aus drei Fleisch- und zwei Fischsorten. Katzen lieben diese Geschmacksvielfalt. Gleichzeitig liefert diese Mahlzeit eine Fülle an Vitalstoffen.
Diese Rezeptur wurde speziell entwickelt, um den natürlichen Ernährungsbedürfnissen von Katzen gerecht zu werden.
Mit einem hohen Anteil von 99 % Fleisch und Fisch ist dieses Alleinfuttermittel besonders nahrhaft, leicht verdaulich und unwiderstehlich lecker.
Zusammensetzung 
Fisch (32%) – Lachs und Weißfisch: Reich an Omega-3-Fettsäuren, die für ein glänzendes Fell, gesunde Haut und eine starke Immunabwehr sorgen.
Hühnermuskelfleisch (31 %): Eine fettarme Proteinquelle, die essenzielle Aminosäuren für den Muskelaufbau liefert.
Rentiermuskelfleisch (7 %): Eine seltene, nährstoffreiche Fleischsorte, die mit hochwertigem Eiweiß und Eisen das Immunsystem stärkt.
Rinderlunge (18 %): Leicht verdaulich und reich an B-Vitaminen für mehr Vitalität.
Rinderleber (11 %): Liefert natürliches Vitamin A, Eisen und Zink für gesunde Blutbildung und ein starkes Immunsystem.
Anteile &lt; 1 %:
Tomatenpulver und Hagebutte: Natürliche Antioxidantien zur Unterstützung der Zellgesundheit.
Kalzium und Salz: Fördern starke Knochen und einen ausgeglichenen Mineralstoffhaushalt.
Warum Fisch à la Mode von ANIfit?
Einzigartige Mischung: Drei Fleisch- und zwei Fischsorten sorgen für eine abwechslungsreiche und geschmackvolle Ernährung.
Hoher Fleisch- und Fischanteil: Mit 99 % liefert dieses Nassfutter essenzielle Nährstoffe und hochwertige Proteine.
Reich an Omega-3: Unterstützt die Haut- und Fellgesundheit und wirkt entzündungshemmend.
Natürlich und rein: Frei von künstlichen Zusätzen, Farb- und Lockstoffen sowie Konservierungsmitteln.
Für alle Lebensphasen geeignet: Ob Kitten, Adult oder Senior – die Rezeptur deckt den Nährstoffbedarf in jeder Lebensphase.
Fazit 
Fisch à la Mode vereint die Vorzüge von Fleisch und Fisch in einer ausgewogenen Rezeptur, die sowohl geschmacklich als auch ernährungsphysiologisch überzeugt. Diese Mahlzeit bietet alles, was Ihre Katze für ein vitales und glückliches Leben braucht – mit einer Extraportion Abwechslung und Geschmack.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3" s="6" t="inlineStr">
        <is>
          <t>in_stock</t>
        </is>
      </c>
      <c r="E173" s="6" t="n"/>
      <c r="F173" s="6" t="n"/>
      <c r="G173" s="11" t="inlineStr">
        <is>
          <t>https://www.fellkost.de/content/partners/466587/shop/shop/article/11241/fisch_la_mode_400g_6_stueck_</t>
        </is>
      </c>
      <c r="H173" s="6" t="n"/>
      <c r="I173" s="13" t="inlineStr">
        <is>
          <t>https://www.fellkost.de/static/content/e18829/e18831/e18851/e18856/e18861/image_shop1/ger/Hunde%20Nassfutter%20Fisch%20a%20la%20Mode%20%20400%20g%201920%20x%201920_w480_h480_q90_jpg.jpg?checksum=d5c829be17fe19eda86dbf27ccd486026a11c64e</t>
        </is>
      </c>
      <c r="J173" s="7" t="n">
        <v>25.49</v>
      </c>
      <c r="K173" s="6" t="n"/>
      <c r="L173" s="6" t="n"/>
      <c r="M173" s="6" t="inlineStr">
        <is>
          <t>no</t>
        </is>
      </c>
      <c r="N173" s="6" t="n"/>
      <c r="O173" s="6" t="n"/>
      <c r="P173" s="6" t="inlineStr">
        <is>
          <t>ANIfit</t>
        </is>
      </c>
      <c r="Q173" s="14" t="n"/>
      <c r="R173" s="6" t="n"/>
      <c r="S173" s="6" t="n"/>
      <c r="T173" s="6" t="inlineStr">
        <is>
          <t>new</t>
        </is>
      </c>
      <c r="U173" s="6" t="inlineStr">
        <is>
          <t>no</t>
        </is>
      </c>
      <c r="V173" s="6" t="n"/>
      <c r="W173" s="6" t="n"/>
      <c r="X173" s="6" t="n"/>
      <c r="Y173" s="6" t="n"/>
      <c r="Z173" s="6" t="n"/>
      <c r="AA173" s="6" t="n"/>
      <c r="AB173" s="6" t="n"/>
      <c r="AC173" s="6" t="n"/>
      <c r="AD173" s="6" t="n"/>
      <c r="AE173" s="6" t="n"/>
      <c r="AF173" s="6" t="n"/>
      <c r="AG173" s="6" t="n"/>
      <c r="AH173" s="6" t="n"/>
      <c r="AI173" s="6" t="n"/>
      <c r="AJ173" s="6" t="n"/>
      <c r="AK173" s="6" t="n"/>
      <c r="AL173" s="3" t="n">
        <v>500</v>
      </c>
    </row>
    <row r="174">
      <c r="A174" s="3" t="n">
        <v>11242</v>
      </c>
      <c r="B174" s="14" t="inlineStr">
        <is>
          <t>Fisch à la Mode 810g  | Anifit Nassfutter für Katzen</t>
        </is>
      </c>
      <c r="C174" s="13" t="inlineStr">
        <is>
          <t>Fisch à la Mode bietet eine exquisite Kombination aus drei Fleisch- und zwei Fischsorten. Katzen lieben diese Geschmacksvielfalt. Gleichzeitig liefert diese Mahlzeit eine Fülle an Vitalstoffen.
Diese Rezeptur wurde speziell entwickelt, um den natürlichen Ernährungsbedürfnissen von Katzen gerecht zu werden.
Mit einem hohen Anteil von 99 % Fleisch und Fisch ist dieses Alleinfuttermittel besonders nahrhaft, leicht verdaulich und unwiderstehlich lecker.
Zusammensetzung 
Fisch (32%) – Lachs und Weißfisch: Reich an Omega-3-Fettsäuren, die für ein glänzendes Fell, gesunde Haut und eine starke Immunabwehr sorgen.
Hühnermuskelfleisch (31 %): Eine fettarme Proteinquelle, die essenzielle Aminosäuren für den Muskelaufbau liefert.
Rentiermuskelfleisch (7 %): Eine seltene, nährstoffreiche Fleischsorte, die mit hochwertigem Eiweiß und Eisen das Immunsystem stärkt.
Rinderlunge (18 %): Leicht verdaulich und reich an B-Vitaminen für mehr Vitalität.
Rinderleber (11 %): Liefert natürliches Vitamin A, Eisen und Zink für gesunde Blutbildung und ein starkes Immunsystem.
Anteile &lt; 1 %:
Tomatenpulver und Hagebutte: Natürliche Antioxidantien zur Unterstützung der Zellgesundheit.
Kalzium und Salz: Fördern starke Knochen und einen ausgeglichenen Mineralstoffhaushalt.
Warum Fisch à la Mode von ANIfit?
Einzigartige Mischung: Drei Fleisch- und zwei Fischsorten sorgen für eine abwechslungsreiche und geschmackvolle Ernährung.
Hoher Fleisch- und Fischanteil: Mit 99 % liefert dieses Nassfutter essenzielle Nährstoffe und hochwertige Proteine.
Reich an Omega-3: Unterstützt die Haut- und Fellgesundheit und wirkt entzündungshemmend.
Natürlich und rein: Frei von künstlichen Zusätzen, Farb- und Lockstoffen sowie Konservierungsmitteln.
Für alle Lebensphasen geeignet: Ob Kitten, Adult oder Senior – die Rezeptur deckt den Nährstoffbedarf in jeder Lebensphase.
Fazit 
Fisch à la Mode vereint die Vorzüge von Fleisch und Fisch in einer ausgewogenen Rezeptur, die sowohl geschmacklich als auch ernährungsphysiologisch überzeugt. Diese Mahlzeit bietet alles, was Ihre Katze für ein vitales und glückliches Leben braucht – mit einer Extraportion Abwechslung und Geschmack.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4" s="6" t="inlineStr">
        <is>
          <t>in_stock</t>
        </is>
      </c>
      <c r="E174" s="6" t="n"/>
      <c r="F174" s="6" t="n"/>
      <c r="G174" s="11" t="inlineStr">
        <is>
          <t>https://www.fellkost.de/content/partners/466587/shop/shop/article/11242/fisch_la_mode_810g_6_stueck_</t>
        </is>
      </c>
      <c r="H174" s="6" t="n"/>
      <c r="I174" s="13" t="inlineStr">
        <is>
          <t>https://www.fellkost.de/static/content/e18829/e18831/e18851/e18856/e18862/image_shop1/ger/Hunde%20Nassfutter%20Fisch%20a%20la%20Mode%20%20810%20g%201920%20x%201920_w480_h480_q90_jpg.jpg?checksum=d178510b8dc6433e75c29534c8156901304eff9e</t>
        </is>
      </c>
      <c r="J174" s="7" t="n">
        <v>34.49</v>
      </c>
      <c r="K174" s="6" t="n"/>
      <c r="L174" s="6" t="n"/>
      <c r="M174" s="6" t="inlineStr">
        <is>
          <t>no</t>
        </is>
      </c>
      <c r="N174" s="6" t="n"/>
      <c r="O174" s="6" t="n"/>
      <c r="P174" s="6" t="inlineStr">
        <is>
          <t>ANIfit</t>
        </is>
      </c>
      <c r="Q174" s="14" t="n"/>
      <c r="R174" s="6" t="n"/>
      <c r="S174" s="6" t="n"/>
      <c r="T174" s="6" t="inlineStr">
        <is>
          <t>new</t>
        </is>
      </c>
      <c r="U174" s="6" t="inlineStr">
        <is>
          <t>no</t>
        </is>
      </c>
      <c r="V174" s="6" t="n"/>
      <c r="W174" s="6" t="n"/>
      <c r="X174" s="6" t="n"/>
      <c r="Y174" s="6" t="n"/>
      <c r="Z174" s="6" t="n"/>
      <c r="AA174" s="6" t="n"/>
      <c r="AB174" s="6" t="n"/>
      <c r="AC174" s="6" t="n"/>
      <c r="AD174" s="6" t="n"/>
      <c r="AE174" s="6" t="n"/>
      <c r="AF174" s="6" t="n"/>
      <c r="AG174" s="6" t="n"/>
      <c r="AH174" s="6" t="n"/>
      <c r="AI174" s="6" t="n"/>
      <c r="AJ174" s="6" t="n"/>
      <c r="AK174" s="6" t="n"/>
      <c r="AL174" s="3" t="n">
        <v>500</v>
      </c>
    </row>
    <row r="175">
      <c r="A175" s="3" t="n">
        <v>11245</v>
      </c>
      <c r="B175" s="14" t="inlineStr">
        <is>
          <t>Délice de Coeur 200g  | Anifit Nassfutter für Katzen</t>
        </is>
      </c>
      <c r="C175" s="13" t="inlineStr">
        <is>
          <t>Délice de Coeur ist die Spezialität für Katzen, die eine besonders magenfreundliche und schonende Ernährung benötigen.
Mit einem hohen Anteil an Geflügel und weiteren ausgewählten Zutaten bietet dieses Nassfutter eine leichte und artgerechte Mahlzeit, die nicht nur bekömmlich ist, sondern auch hervorragend schmeckt.
Mit 99 % Fleischanteil und einer sorgfältig abgestimmten Rezeptur ist Délice de Coeur das ideale Alleinfuttermittel für Katzen jeden Alters.
Zusammensetzung 
Hühnermuskelfleisch (66 %): Die Hauptzutat liefert leicht verdauliches, hochwertiges Protein und essenzielle Aminosäuren für den Muskelaufbau.
Rinderlunge (12 %): Eine fettarme Ergänzung, die reich an B-Vitaminen für Energie und Vitalität ist.
Rinderleber (8 %) und Hühnerleber (7 %): Natürliche Quellen für Vitamin A, Eisen und Zink, die das Immunsystem stärken und die Blutbildung fördern.
Rinderstrossen (6 %): Liefert Kalzium und Kollagen für gesunde Knochen, Zähne und Gelenke.
Anteile &lt; 1 %:
Hagebutte: Natürliche Antioxidantien zur Unterstützung der Immunabwehr.
Tomatenpulver: Fördert die Zellgesundheit mit wichtigen Mikronährstoffen.
Kalzium und Salz: Für eine optimale Mineralstoffversorgung.
Warum Délice de Coeur von ANIfit?
Besonders viel Geflügel: Ideal für Katzen mit empfindlichem Magen oder Futtermittelunverträglichkeiten.
Hoher Fleischanteil: 99 % Fleischanteil sorgen für eine proteinreiche und artgerechte Ernährung.
Natürlich und rein: Frei von künstlichen Zusätzen, Konservierungsmitteln, Farb- und Lockstoffen.
Schonende Rezeptur: Leicht verdaulich und perfekt abgestimmt für eine gesunde Verdauung.
Für alle Lebensphasen geeignet: Ob Kitten, Adult oder Senior – diese Mahlzeit unterstützt in jeder Lebensphase ein vitales Katzenleben.
Fazit 
Délice de Coeur bietet eine leichte, schonende und gleichzeitig proteinreiche Mahlzeit, die jede Katze begeistert. Die hochwertige Rezeptur überzeugt durch Verträglichkeit, Geschmack und natürliche Zutaten, die für Wohlbefinden und Vitalität sorgen.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5" s="6" t="inlineStr">
        <is>
          <t>in_stock</t>
        </is>
      </c>
      <c r="E175" s="6" t="n"/>
      <c r="F175" s="6" t="n"/>
      <c r="G175" s="11" t="inlineStr">
        <is>
          <t>https://www.fellkost.de/content/partners/466587/shop/shop/article/11245/d_lice_de_coeur_200g_6_stueck_?category=62197</t>
        </is>
      </c>
      <c r="H175" s="6" t="n"/>
      <c r="I175" s="14" t="inlineStr">
        <is>
          <t>https://www.fellkost.de/static/content/e18829/e18831/e18851/e18856/e18865/image_shop1/ger/Katze%20Nassfutter%20Delice%20de%20Coeur%20%20200%20g%201920%20x%201920_w480_h480_q90_jpg.jpg</t>
        </is>
      </c>
      <c r="J175" s="7" t="n">
        <v>19.49</v>
      </c>
      <c r="K175" s="6" t="n"/>
      <c r="L175" s="6" t="n"/>
      <c r="M175" s="6" t="inlineStr">
        <is>
          <t>no</t>
        </is>
      </c>
      <c r="N175" s="6" t="n"/>
      <c r="O175" s="6" t="n"/>
      <c r="P175" s="6" t="inlineStr">
        <is>
          <t>ANIfit</t>
        </is>
      </c>
      <c r="Q175" s="6" t="n"/>
      <c r="R175" s="6" t="n"/>
      <c r="S175" s="6" t="n"/>
      <c r="T175" s="6" t="inlineStr">
        <is>
          <t>new</t>
        </is>
      </c>
      <c r="U175" s="6" t="inlineStr">
        <is>
          <t>no</t>
        </is>
      </c>
      <c r="V175" s="6" t="n"/>
      <c r="W175" s="6" t="n"/>
      <c r="X175" s="6" t="n"/>
      <c r="Y175" s="6" t="n"/>
      <c r="Z175" s="6" t="n"/>
      <c r="AA175" s="6" t="n"/>
      <c r="AB175" s="6" t="n"/>
      <c r="AC175" s="6" t="n"/>
      <c r="AD175" s="6" t="n"/>
      <c r="AE175" s="6" t="n"/>
      <c r="AF175" s="6" t="n"/>
      <c r="AG175" s="6" t="n"/>
      <c r="AH175" s="6" t="n"/>
      <c r="AI175" s="6" t="n"/>
      <c r="AJ175" s="6" t="n"/>
      <c r="AK175" s="6" t="n"/>
      <c r="AL175" s="3" t="n">
        <v>500</v>
      </c>
    </row>
    <row r="176">
      <c r="A176" s="3" t="n">
        <v>11246</v>
      </c>
      <c r="B176" s="14" t="inlineStr">
        <is>
          <t>Délice de Coeur 400g  | Anifit Nassfutter für Katzen</t>
        </is>
      </c>
      <c r="C176" s="13" t="inlineStr">
        <is>
          <t>Délice de Coeur ist die Spezialität für Katzen, die eine besonders magenfreundliche und schonende Ernährung benötigen.
Mit einem hohen Anteil an Geflügel und weiteren ausgewählten Zutaten bietet dieses Nassfutter eine leichte und artgerechte Mahlzeit, die nicht nur bekömmlich ist, sondern auch hervorragend schmeckt.
Mit 99 % Fleischanteil und einer sorgfältig abgestimmten Rezeptur ist Délice de Coeur das ideale Alleinfuttermittel für Katzen jeden Alters.
Zusammensetzung 
Hühnermuskelfleisch (66 %): Die Hauptzutat liefert leicht verdauliches, hochwertiges Protein und essenzielle Aminosäuren für den Muskelaufbau.
Rinderlunge (12 %): Eine fettarme Ergänzung, die reich an B-Vitaminen für Energie und Vitalität ist.
Rinderleber (8 %) und Hühnerleber (7 %): Natürliche Quellen für Vitamin A, Eisen und Zink, die das Immunsystem stärken und die Blutbildung fördern.
Rinderstrossen (6 %): Liefert Kalzium und Kollagen für gesunde Knochen, Zähne und Gelenke.
Anteile &lt; 1 %:
Hagebutte: Natürliche Antioxidantien zur Unterstützung der Immunabwehr.
Tomatenpulver: Fördert die Zellgesundheit mit wichtigen Mikronährstoffen.
Kalzium und Salz: Für eine optimale Mineralstoffversorgung.
Warum Délice de Coeur von ANIfit?
Besonders viel Geflügel: Ideal für Katzen mit empfindlichem Magen oder Futtermittelunverträglichkeiten.
Hoher Fleischanteil: 99 % Fleischanteil sorgen für eine proteinreiche und artgerechte Ernährung.
Natürlich und rein: Frei von künstlichen Zusätzen, Konservierungsmitteln, Farb- und Lockstoffen.
Schonende Rezeptur: Leicht verdaulich und perfekt abgestimmt für eine gesunde Verdauung.
Für alle Lebensphasen geeignet: Ob Kitten, Adult oder Senior – diese Mahlzeit unterstützt in jeder Lebensphase ein vitales Katzenleben.
Fazit 
Délice de Coeur bietet eine leichte, schonende und gleichzeitig proteinreiche Mahlzeit, die jede Katze begeistert. Die hochwertige Rezeptur überzeugt durch Verträglichkeit, Geschmack und natürliche Zutaten, die für Wohlbefinden und Vitalität sorgen.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6" s="6" t="inlineStr">
        <is>
          <t>in_stock</t>
        </is>
      </c>
      <c r="E176" s="6" t="n"/>
      <c r="F176" s="6" t="n"/>
      <c r="G176" s="11" t="inlineStr">
        <is>
          <t>https://www.fellkost.de/content/partners/466587/shop/shop/article/11246/d_lice_de_coeur_400g_6_stueck_</t>
        </is>
      </c>
      <c r="H176" s="6" t="n"/>
      <c r="I176" s="14" t="inlineStr">
        <is>
          <t>https://www.fellkost.de/static/content/e18829/e18831/e18851/e18856/e18866/image_shop1/ger/Katze%20Nassfutter%20Delice%20de%20Coeur%20400%20g%201920%20x%201920_w480_h480_q90_jpg.jpg</t>
        </is>
      </c>
      <c r="J176" s="7" t="n">
        <v>25.49</v>
      </c>
      <c r="K176" s="6" t="n"/>
      <c r="L176" s="6" t="n"/>
      <c r="M176" s="6" t="inlineStr">
        <is>
          <t>no</t>
        </is>
      </c>
      <c r="N176" s="6" t="n"/>
      <c r="O176" s="6" t="n"/>
      <c r="P176" s="6" t="inlineStr">
        <is>
          <t>ANIfit</t>
        </is>
      </c>
      <c r="Q176" s="6" t="n"/>
      <c r="R176" s="6" t="n"/>
      <c r="S176" s="6" t="n"/>
      <c r="T176" s="6" t="inlineStr">
        <is>
          <t>new</t>
        </is>
      </c>
      <c r="U176" s="6" t="inlineStr">
        <is>
          <t>no</t>
        </is>
      </c>
      <c r="V176" s="6" t="n"/>
      <c r="W176" s="6" t="n"/>
      <c r="X176" s="6" t="n"/>
      <c r="Y176" s="6" t="n"/>
      <c r="Z176" s="6" t="n"/>
      <c r="AA176" s="6" t="n"/>
      <c r="AB176" s="6" t="n"/>
      <c r="AC176" s="6" t="n"/>
      <c r="AD176" s="6" t="n"/>
      <c r="AE176" s="6" t="n"/>
      <c r="AF176" s="6" t="n"/>
      <c r="AG176" s="6" t="n"/>
      <c r="AH176" s="6" t="n"/>
      <c r="AI176" s="6" t="n"/>
      <c r="AJ176" s="6" t="n"/>
      <c r="AK176" s="6" t="n"/>
      <c r="AL176" s="3" t="n">
        <v>500</v>
      </c>
    </row>
    <row r="177">
      <c r="A177" s="3" t="n">
        <v>48206</v>
      </c>
      <c r="B177" s="14" t="inlineStr">
        <is>
          <t>Délice de Coeur 810g  | Anifit Nassfutter für Katzen</t>
        </is>
      </c>
      <c r="C177" s="13" t="inlineStr">
        <is>
          <t>Délice de Coeur ist die Spezialität für Katzen, die eine besonders magenfreundliche und schonende Ernährung benötigen.
Mit einem hohen Anteil an Geflügel und weiteren ausgewählten Zutaten bietet dieses Nassfutter eine leichte und artgerechte Mahlzeit, die nicht nur bekömmlich ist, sondern auch hervorragend schmeckt.
Mit 99 % Fleischanteil und einer sorgfältig abgestimmten Rezeptur ist Délice de Coeur das ideale Alleinfuttermittel für Katzen jeden Alters.
Zusammensetzung 
Hühnermuskelfleisch (66 %): Die Hauptzutat liefert leicht verdauliches, hochwertiges Protein und essenzielle Aminosäuren für den Muskelaufbau.
Rinderlunge (12 %): Eine fettarme Ergänzung, die reich an B-Vitaminen für Energie und Vitalität ist.
Rinderleber (8 %) und Hühnerleber (7 %): Natürliche Quellen für Vitamin A, Eisen und Zink, die das Immunsystem stärken und die Blutbildung fördern.
Rinderstrossen (6 %): Liefert Kalzium und Kollagen für gesunde Knochen, Zähne und Gelenke.
Anteile &lt; 1 %:
Hagebutte: Natürliche Antioxidantien zur Unterstützung der Immunabwehr.
Tomatenpulver: Fördert die Zellgesundheit mit wichtigen Mikronährstoffen.
Kalzium und Salz: Für eine optimale Mineralstoffversorgung.
Warum Délice de Coeur von ANIfit?
Besonders viel Geflügel: Ideal für Katzen mit empfindlichem Magen oder Futtermittelunverträglichkeiten.
Hoher Fleischanteil: 99 % Fleischanteil sorgen für eine proteinreiche und artgerechte Ernährung.
Natürlich und rein: Frei von künstlichen Zusätzen, Konservierungsmitteln, Farb- und Lockstoffen.
Schonende Rezeptur: Leicht verdaulich und perfekt abgestimmt für eine gesunde Verdauung.
Für alle Lebensphasen geeignet: Ob Kitten, Adult oder Senior – diese Mahlzeit unterstützt in jeder Lebensphase ein vitales Katzenleben.
Fazit 
Délice de Coeur bietet eine leichte, schonende und gleichzeitig proteinreiche Mahlzeit, die jede Katze begeistert. Die hochwertige Rezeptur überzeugt durch Verträglichkeit, Geschmack und natürliche Zutaten, die für Wohlbefinden und Vitalität sorgen.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7" s="6" t="inlineStr">
        <is>
          <t>in_stock</t>
        </is>
      </c>
      <c r="E177" s="6" t="n"/>
      <c r="F177" s="6" t="n"/>
      <c r="G177" s="11" t="inlineStr">
        <is>
          <t>https://www.fellkost.de/content/partners/466587/shop/shop/article/48206/d_lice_de_coeur_810g_6_stueck_</t>
        </is>
      </c>
      <c r="H177" s="6" t="n"/>
      <c r="I177" s="14" t="inlineStr">
        <is>
          <t>https://www.fellkost.de/static/content/e18829/e18831/e18851/e18856/e46695/image_shop1/ger/Katze%20Nassfutter%20Delice%20de%20Coeur%20810%20g%201920%20x%201920_w480_h480_q90_jpg.jpg?checksum=792fb252739f2b17d78769de5289d6b444a53713</t>
        </is>
      </c>
      <c r="J177" s="7" t="n">
        <v>34.49</v>
      </c>
      <c r="K177" s="6" t="n"/>
      <c r="L177" s="6" t="n"/>
      <c r="M177" s="6" t="inlineStr">
        <is>
          <t>no</t>
        </is>
      </c>
      <c r="N177" s="6" t="n"/>
      <c r="O177" s="6" t="n"/>
      <c r="P177" s="6" t="inlineStr">
        <is>
          <t>ANIfit</t>
        </is>
      </c>
      <c r="Q177" s="6" t="n"/>
      <c r="R177" s="6" t="n"/>
      <c r="S177" s="6" t="n"/>
      <c r="T177" s="6" t="inlineStr">
        <is>
          <t>new</t>
        </is>
      </c>
      <c r="U177" s="6" t="inlineStr">
        <is>
          <t>no</t>
        </is>
      </c>
      <c r="V177" s="6" t="n"/>
      <c r="W177" s="6" t="n"/>
      <c r="X177" s="6" t="n"/>
      <c r="Y177" s="6" t="n"/>
      <c r="Z177" s="6" t="n"/>
      <c r="AA177" s="6" t="n"/>
      <c r="AB177" s="6" t="n"/>
      <c r="AC177" s="6" t="n"/>
      <c r="AD177" s="6" t="n"/>
      <c r="AE177" s="6" t="n"/>
      <c r="AF177" s="6" t="n"/>
      <c r="AG177" s="6" t="n"/>
      <c r="AH177" s="6" t="n"/>
      <c r="AI177" s="6" t="n"/>
      <c r="AJ177" s="6" t="n"/>
      <c r="AK177" s="6" t="n"/>
      <c r="AL177" s="3" t="n">
        <v>500</v>
      </c>
    </row>
    <row r="178">
      <c r="A178" s="3" t="n">
        <v>43379</v>
      </c>
      <c r="B178" s="14" t="inlineStr">
        <is>
          <t>Nautilus Ragout 200g  | Anifit Nassfutter für Katzen</t>
        </is>
      </c>
      <c r="C178" s="13" t="inlineStr">
        <is>
          <t>Nautilus Ragout verbindet Fisch und Fleisch zu einer außergewöhnlichen Mahlzeit, die Katzen begeistert.
Die einzigartige Mischung aus Hering, Lachs, Geflügel und Rind sorgt nicht nur für eine abwechslungsreiche Geschmacksvielfalt, sondern liefert auch eine perfekte Balance an Nährstoffen.
Dieses Nassfutter ist ideal für Katzenliebhaber, die Wert auf eine ausgewogene, hochwertige Ernährung legen: artgerecht, schmackhaft und nährstoffreich.
Mit einem Fleisch- und Fischanteil von 99 % garantiert Nautilus Ragout höchste Qualität und Genuss in jeder Mahlzeit.
Zusammensetzung
Fisch: 38 % - Hering und Lachs: Hochwertige Fischsorten, die mit Omega-3-Fettsäuren Haut und Fell unterstützen und entzündungshemmend wirken.
Hühnermuskelfleisch (19 %): Leicht verdaulich und reich an hochwertigem Eiweiß für den Muskelaufbau.
Rinderlunge (17 %): Fettarm und reich an B-Vitaminen, die für Energie und Vitalität sorgen.
Rinderleber (13 %): Eine natürliche Quelle für Vitamin A, Eisen und Zink – stärkt Immunsystem und Blutbildung.
Rinderstrossen (12 %): Liefert Kalzium und Kollagen für gesunde Knochen, Zähne und Gelenke.
Anteile &lt; 1 %:
Kalzium und Salz: Unterstützen den Elektrolythaushalt und die Mineralstoffversorgung.
Warum Nautilus Ragout von ANIfit?
Vielfältige Kombination: Die Mischung aus Hering, Lachs, Geflügel und Rind sorgt für Geschmack und eine breite Nährstoffbasis.
Hoher Fleisch- und Fischanteil: 99 % garantieren eine artgerechte und proteinreiche Ernährung.
Reich an Omega-3: Unterstützt Haut, Fell und das Immunsystem mit essenziellen Fettsäuren.
Natürlich und rein: Frei von künstlichen Zusätzen, Konservierungsmitteln, Farb- und Lockstoffen.
Für alle Katzen geeignet: Ob Jungtier, Adult oder Senior – perfekt für jede Lebensphase.
Fazit 
Nautilus Ragout ist die ideale Wahl für Katzen, die Abwechslung und höchste Qualität im Napf schätzen. Diese einzigartige Kombination aus Fisch und Fleisch bietet nicht nur unvergleichlichen Geschmack, sondern auch eine rundum ausgewogene Ernährung – für ein glückliches, vitales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8" s="6" t="inlineStr">
        <is>
          <t>in_stock</t>
        </is>
      </c>
      <c r="E178" s="6" t="n"/>
      <c r="F178" s="6" t="n"/>
      <c r="G178" s="11" t="inlineStr">
        <is>
          <t>https://www.fellkost.de/content/partners/466587/shop/shop/article/43379/nautilus_ragout_200g_6_stueck_?category=62197</t>
        </is>
      </c>
      <c r="H178" s="6" t="n"/>
      <c r="I178" s="14" t="inlineStr">
        <is>
          <t>https://www.fellkost.de/static/content/e18829/e18831/e18851/e18856/e43069/image_shop1/ger/Katze%20Nassfutter%20Nautilus%20Ragout%20%20200%20g%201920%20x%201920_w480_h480_q90_jpg.jpg?checksum=bfb9d20435e93dd9762ed4e894f42c8af4037dd6</t>
        </is>
      </c>
      <c r="J178" s="7" t="n">
        <v>19.49</v>
      </c>
      <c r="K178" s="6" t="n"/>
      <c r="L178" s="6" t="n"/>
      <c r="M178" s="6" t="inlineStr">
        <is>
          <t>no</t>
        </is>
      </c>
      <c r="N178" s="6" t="n"/>
      <c r="O178" s="6" t="n"/>
      <c r="P178" s="6" t="inlineStr">
        <is>
          <t>ANIfit</t>
        </is>
      </c>
      <c r="Q178" s="13" t="n"/>
      <c r="R178" s="6" t="n"/>
      <c r="S178" s="6" t="n"/>
      <c r="T178" s="6" t="inlineStr">
        <is>
          <t>new</t>
        </is>
      </c>
      <c r="U178" s="6" t="inlineStr">
        <is>
          <t>no</t>
        </is>
      </c>
      <c r="V178" s="6" t="n"/>
      <c r="W178" s="6" t="n"/>
      <c r="X178" s="6" t="n"/>
      <c r="Y178" s="6" t="n"/>
      <c r="Z178" s="6" t="n"/>
      <c r="AA178" s="6" t="n"/>
      <c r="AB178" s="6" t="n"/>
      <c r="AC178" s="6" t="n"/>
      <c r="AD178" s="6" t="n"/>
      <c r="AE178" s="6" t="n"/>
      <c r="AF178" s="6" t="n"/>
      <c r="AG178" s="6" t="n"/>
      <c r="AH178" s="6" t="n"/>
      <c r="AI178" s="6" t="n"/>
      <c r="AJ178" s="6" t="n"/>
      <c r="AK178" s="6" t="n"/>
      <c r="AL178" s="3" t="n">
        <v>500</v>
      </c>
    </row>
    <row r="179">
      <c r="A179" s="3" t="n">
        <v>11250</v>
      </c>
      <c r="B179" s="14" t="inlineStr">
        <is>
          <t>Nautilus Ragout 400g  | Anifit Nassfutter für Katzen</t>
        </is>
      </c>
      <c r="C179" s="13" t="inlineStr">
        <is>
          <t>Nautilus Ragout verbindet Fisch und Fleisch zu einer außergewöhnlichen Mahlzeit, die Katzen begeistert.
Die einzigartige Mischung aus Hering, Lachs, Geflügel und Rind sorgt nicht nur für eine abwechslungsreiche Geschmacksvielfalt, sondern liefert auch eine perfekte Balance an Nährstoffen.
Dieses Nassfutter ist ideal für Katzenliebhaber, die Wert auf eine ausgewogene, hochwertige Ernährung legen: artgerecht, schmackhaft und nährstoffreich.
Mit einem Fleisch- und Fischanteil von 99 % garantiert Nautilus Ragout höchste Qualität und Genuss in jeder Mahlzeit.
Zusammensetzung
Fisch: 38 % - Hering und Lachs: Hochwertige Fischsorten, die mit Omega-3-Fettsäuren Haut und Fell unterstützen und entzündungshemmend wirken.
Hühnermuskelfleisch (19 %): Leicht verdaulich und reich an hochwertigem Eiweiß für den Muskelaufbau.
Rinderlunge (17 %): Fettarm und reich an B-Vitaminen, die für Energie und Vitalität sorgen.
Rinderleber (13 %): Eine natürliche Quelle für Vitamin A, Eisen und Zink – stärkt Immunsystem und Blutbildung.
Rinderstrossen (12 %): Liefert Kalzium und Kollagen für gesunde Knochen, Zähne und Gelenke.
Anteile &lt; 1 %:
Kalzium und Salz: Unterstützen den Elektrolythaushalt und die Mineralstoffversorgung.
Warum Nautilus Ragout von ANIfit?
Vielfältige Kombination: Die Mischung aus Hering, Lachs, Geflügel und Rind sorgt für Geschmack und eine breite Nährstoffbasis.
Hoher Fleisch- und Fischanteil: 99 % garantieren eine artgerechte und proteinreiche Ernährung.
Reich an Omega-3: Unterstützt Haut, Fell und das Immunsystem mit essenziellen Fettsäuren.
Natürlich und rein: Frei von künstlichen Zusätzen, Konservierungsmitteln, Farb- und Lockstoffen.
Für alle Katzen geeignet: Ob Jungtier, Adult oder Senior – perfekt für jede Lebensphase.
Fazit 
Nautilus Ragout ist die ideale Wahl für Katzen, die Abwechslung und höchste Qualität im Napf schätzen. Diese einzigartige Kombination aus Fisch und Fleisch bietet nicht nur unvergleichlichen Geschmack, sondern auch eine rundum ausgewogene Ernährung – für ein glückliches, vitales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79" s="6" t="inlineStr">
        <is>
          <t>in_stock</t>
        </is>
      </c>
      <c r="E179" s="6" t="n"/>
      <c r="F179" s="6" t="n"/>
      <c r="G179" s="11" t="inlineStr">
        <is>
          <t>https://www.fellkost.de/content/partners/466587/shop/shop/article/11250/nautilus_ragout_400g_6_stueck_</t>
        </is>
      </c>
      <c r="H179" s="6" t="n"/>
      <c r="I179" s="14" t="inlineStr">
        <is>
          <t>https://www.fellkost.de/static/content/e18829/e18831/e18851/e18856/e18870/image_shop1/ger/Katze%20Nassfutter%20Nautilus%20Ragout%20400%20g%201920%20x%201920_w480_h480_q90_jpg.jpg?checksum=0f524be3461ca2f40a345775b6b6bf3491c4027d</t>
        </is>
      </c>
      <c r="J179" s="7" t="n">
        <v>25.49</v>
      </c>
      <c r="K179" s="6" t="n"/>
      <c r="L179" s="6" t="n"/>
      <c r="M179" s="6" t="inlineStr">
        <is>
          <t>no</t>
        </is>
      </c>
      <c r="N179" s="6" t="n"/>
      <c r="O179" s="6" t="n"/>
      <c r="P179" s="6" t="inlineStr">
        <is>
          <t>ANIfit</t>
        </is>
      </c>
      <c r="Q179" s="13" t="n"/>
      <c r="R179" s="6" t="n"/>
      <c r="S179" s="6" t="n"/>
      <c r="T179" s="6" t="inlineStr">
        <is>
          <t>new</t>
        </is>
      </c>
      <c r="U179" s="6" t="inlineStr">
        <is>
          <t>no</t>
        </is>
      </c>
      <c r="V179" s="6" t="n"/>
      <c r="W179" s="6" t="n"/>
      <c r="X179" s="6" t="n"/>
      <c r="Y179" s="6" t="n"/>
      <c r="Z179" s="6" t="n"/>
      <c r="AA179" s="6" t="n"/>
      <c r="AB179" s="6" t="n"/>
      <c r="AC179" s="6" t="n"/>
      <c r="AD179" s="6" t="n"/>
      <c r="AE179" s="6" t="n"/>
      <c r="AF179" s="6" t="n"/>
      <c r="AG179" s="6" t="n"/>
      <c r="AH179" s="6" t="n"/>
      <c r="AI179" s="6" t="n"/>
      <c r="AJ179" s="6" t="n"/>
      <c r="AK179" s="6" t="n"/>
      <c r="AL179" s="3" t="n">
        <v>500</v>
      </c>
    </row>
    <row r="180">
      <c r="A180" s="3" t="n">
        <v>43643</v>
      </c>
      <c r="B180" s="14" t="inlineStr">
        <is>
          <t>Nautilus Ragout 810g  | Anifit Nassfutter für Katzen</t>
        </is>
      </c>
      <c r="C180" s="13" t="inlineStr">
        <is>
          <t>Nautilus Ragout verbindet Fisch und Fleisch zu einer außergewöhnlichen Mahlzeit, die Katzen begeistert.
Die einzigartige Mischung aus Hering, Lachs, Geflügel und Rind sorgt nicht nur für eine abwechslungsreiche Geschmacksvielfalt, sondern liefert auch eine perfekte Balance an Nährstoffen.
Dieses Nassfutter ist ideal für Katzenliebhaber, die Wert auf eine ausgewogene, hochwertige Ernährung legen: artgerecht, schmackhaft und nährstoffreich.
Mit einem Fleisch- und Fischanteil von 99 % garantiert Nautilus Ragout höchste Qualität und Genuss in jeder Mahlzeit.
Zusammensetzung
Fisch: 38 % - Hering und Lachs: Hochwertige Fischsorten, die mit Omega-3-Fettsäuren Haut und Fell unterstützen und entzündungshemmend wirken.
Hühnermuskelfleisch (19 %): Leicht verdaulich und reich an hochwertigem Eiweiß für den Muskelaufbau.
Rinderlunge (17 %): Fettarm und reich an B-Vitaminen, die für Energie und Vitalität sorgen.
Rinderleber (13 %): Eine natürliche Quelle für Vitamin A, Eisen und Zink – stärkt Immunsystem und Blutbildung.
Rinderstrossen (12 %): Liefert Kalzium und Kollagen für gesunde Knochen, Zähne und Gelenke.
Anteile &lt; 1 %:
Kalzium und Salz: Unterstützen den Elektrolythaushalt und die Mineralstoffversorgung.
Warum Nautilus Ragout von ANIfit?
Vielfältige Kombination: Die Mischung aus Hering, Lachs, Geflügel und Rind sorgt für Geschmack und eine breite Nährstoffbasis.
Hoher Fleisch- und Fischanteil: 99 % garantieren eine artgerechte und proteinreiche Ernährung.
Reich an Omega-3: Unterstützt Haut, Fell und das Immunsystem mit essenziellen Fettsäuren.
Natürlich und rein: Frei von künstlichen Zusätzen, Konservierungsmitteln, Farb- und Lockstoffen.
Für alle Katzen geeignet: Ob Jungtier, Adult oder Senior – perfekt für jede Lebensphase.
Fazit 
Nautilus Ragout ist die ideale Wahl für Katzen, die Abwechslung und höchste Qualität im Napf schätzen. Diese einzigartige Kombination aus Fisch und Fleisch bietet nicht nur unvergleichlichen Geschmack, sondern auch eine rundum ausgewogene Ernährung – für ein glückliches, vitales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0" s="6" t="inlineStr">
        <is>
          <t>in_stock</t>
        </is>
      </c>
      <c r="E180" s="6" t="n"/>
      <c r="F180" s="6" t="n"/>
      <c r="G180" s="11" t="inlineStr">
        <is>
          <t>https://www.fellkost.de/content/partners/466587/shop/shop/article/43643/nautilus_ragout_810g_6_stueck_</t>
        </is>
      </c>
      <c r="H180" s="6" t="n"/>
      <c r="I180" s="14" t="inlineStr">
        <is>
          <t>https://www.fellkost.de/static/content/e18829/e18831/e18851/e18856/e43291/image_shop1/ger/Katze%20Nassfutter%20Nautilus%20Ragout%20810%20g%201920%20x%201920_w480_h480_q90_jpg.jpg?checksum=c073754dbed2afaeea152c32a45b12b1a08d5afb</t>
        </is>
      </c>
      <c r="J180" s="7" t="n">
        <v>34.49</v>
      </c>
      <c r="K180" s="6" t="n"/>
      <c r="L180" s="6" t="n"/>
      <c r="M180" s="6" t="inlineStr">
        <is>
          <t>no</t>
        </is>
      </c>
      <c r="N180" s="6" t="n"/>
      <c r="O180" s="6" t="n"/>
      <c r="P180" s="6" t="inlineStr">
        <is>
          <t>ANIfit</t>
        </is>
      </c>
      <c r="Q180" s="13" t="n"/>
      <c r="R180" s="6" t="n"/>
      <c r="S180" s="6" t="n"/>
      <c r="T180" s="6" t="inlineStr">
        <is>
          <t>new</t>
        </is>
      </c>
      <c r="U180" s="6" t="inlineStr">
        <is>
          <t>no</t>
        </is>
      </c>
      <c r="V180" s="6" t="n"/>
      <c r="W180" s="6" t="n"/>
      <c r="X180" s="6" t="n"/>
      <c r="Y180" s="6" t="n"/>
      <c r="Z180" s="6" t="n"/>
      <c r="AA180" s="6" t="n"/>
      <c r="AB180" s="6" t="n"/>
      <c r="AC180" s="6" t="n"/>
      <c r="AD180" s="6" t="n"/>
      <c r="AE180" s="6" t="n"/>
      <c r="AF180" s="6" t="n"/>
      <c r="AG180" s="6" t="n"/>
      <c r="AH180" s="6" t="n"/>
      <c r="AI180" s="6" t="n"/>
      <c r="AJ180" s="6" t="n"/>
      <c r="AK180" s="6" t="n"/>
      <c r="AL180" s="3" t="n">
        <v>500</v>
      </c>
    </row>
    <row r="181">
      <c r="A181" s="3" t="n">
        <v>11252</v>
      </c>
      <c r="B181" s="14" t="inlineStr">
        <is>
          <t>Eismeer Terrine 200g  | Anifit Nassfutter für Katzen</t>
        </is>
      </c>
      <c r="C181" s="13" t="inlineStr">
        <is>
          <t>Mit der Eismeer Terrine bringen Sie Abwechslung und Qualität in den Napf.
Diese raffinierte Kombination aus Fleisch und Fisch bietet eine Fülle an wertvollen Nährstoffen, die speziell auf die Bedürfnisse von Katzen abgestimmt sind.
Die harmonische Mischung aus knusprigen Fleischstücken und zarten Fischteilen macht dieses Menü besonders bekömmlich und schmackhaft. Das Alleinfuttermittel ist perfekt für eine ausgewogene, artgerechte Ernährung.
Zusammensetzung 
Fisch (38 %) - Hering und Weißfisch &amp; Lachs: Reich an Omega-3-Fettsäuren, die die Haut- und Fellgesundheit fördern und entzündungshemmend wirken.
Hühnermuskelfleisch (19 %): Liefert leicht verdauliches Eiweiß für gesunde Muskeln und Energie.
Rinderlunge (17 %): Versorgt mit B-Vitaminen und sorgt für mehr Vitalität.
Rinderleber (13 %): Enthält Vitamin A, Eisen und Zink – für ein starkes Immunsystem und gesunde Blutbildung.
Rinderstrossen (12 %): Natürliche Quelle für Kalzium und Kollagen, fördert Knochen, Gelenke und Zähne.
Anteile &lt; 1 %:
Kalzium und Salz: Unterstützen den Elektrolythaushalt und eine optimale Mineralstoffversorgung.
Warum die Eismeer Terrine von ANIfit?
Ideale Balance: Die ausgewogene Kombination aus Fleisch und Fisch sorgt für eine abwechslungsreiche und nährstoffreiche Mahlzeit.
Schonend für den Magen: Die Kombination aus knusprigen Fleischstücken und weichen Fischteilen ist besonders leicht verdaulich.
Hoher Fleisch- und Fischanteil: 99 % garantieren eine natürliche, proteinreiche Ernährung.
Natürlich und rein: Ohne künstliche Zusätze, Farb- und Lockstoffe oder Konservierungsmittel.
Perfekt für jede Lebensphase: Von Kitten bis Senior – die Rezeptur passt zu den Bedürfnissen von Katzen jeden Alters.
Fazit 
Eismeer Terrine bietet eine Mahlzeit, die Katzen begeistert und gleichzeitig optimal versorgt. Die harmonische Verbindung von Fleisch und Fisch liefert alles, was Katzen für ein glückliches und vitales Leben brauchen – natürlich, gesund und unwiderstehlich lecker.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1" s="6" t="inlineStr">
        <is>
          <t>in_stock</t>
        </is>
      </c>
      <c r="E181" s="6" t="n"/>
      <c r="F181" s="6" t="n"/>
      <c r="G181" s="11" t="inlineStr">
        <is>
          <t>https://www.fellkost.de/content/partners/466587/shop/shop/article/11252/eismeer_terrine_200g_6_stueck_?category=62197</t>
        </is>
      </c>
      <c r="H181" s="6" t="n"/>
      <c r="I181" s="13" t="inlineStr">
        <is>
          <t>https://www.fellkost.de/static/content/e18829/e18831/e18851/e18856/e18872/image_shop1/ger/Katze%20Nassfutter%20Eismeer%20Terrine%20%20200%20g%201920%20x%201920_w960_h960_q90_jpg.jpg?checksum=ddda009aaf58b063daa7900e346542504917b854</t>
        </is>
      </c>
      <c r="J181" s="7" t="n">
        <v>19.49</v>
      </c>
      <c r="K181" s="6" t="n"/>
      <c r="L181" s="6" t="n"/>
      <c r="M181" s="6" t="inlineStr">
        <is>
          <t>no</t>
        </is>
      </c>
      <c r="N181" s="6" t="n"/>
      <c r="O181" s="6" t="n"/>
      <c r="P181" s="6" t="inlineStr">
        <is>
          <t>ANIfit</t>
        </is>
      </c>
      <c r="Q181" s="13" t="n"/>
      <c r="R181" s="6" t="n"/>
      <c r="S181" s="6" t="n"/>
      <c r="T181" s="6" t="inlineStr">
        <is>
          <t>new</t>
        </is>
      </c>
      <c r="U181" s="6" t="inlineStr">
        <is>
          <t>no</t>
        </is>
      </c>
      <c r="V181" s="6" t="n"/>
      <c r="W181" s="6" t="n"/>
      <c r="X181" s="6" t="n"/>
      <c r="Y181" s="6" t="n"/>
      <c r="Z181" s="6" t="n"/>
      <c r="AA181" s="6" t="n"/>
      <c r="AB181" s="6" t="n"/>
      <c r="AC181" s="6" t="n"/>
      <c r="AD181" s="6" t="n"/>
      <c r="AE181" s="6" t="n"/>
      <c r="AF181" s="6" t="n"/>
      <c r="AG181" s="6" t="n"/>
      <c r="AH181" s="6" t="n"/>
      <c r="AI181" s="6" t="n"/>
      <c r="AJ181" s="6" t="n"/>
      <c r="AK181" s="6" t="n"/>
      <c r="AL181" s="3" t="n">
        <v>500</v>
      </c>
    </row>
    <row r="182">
      <c r="A182" s="3" t="n">
        <v>11254</v>
      </c>
      <c r="B182" s="14" t="inlineStr">
        <is>
          <t>Eismeer Terrine 400g  | Anifit Nassfutter für Katzen</t>
        </is>
      </c>
      <c r="C182" s="13" t="inlineStr">
        <is>
          <t>Mit der Eismeer Terrine bringen Sie Abwechslung und Qualität in den Napf.
Diese raffinierte Kombination aus Fleisch und Fisch bietet eine Fülle an wertvollen Nährstoffen, die speziell auf die Bedürfnisse von Katzen abgestimmt sind.
Die harmonische Mischung aus knusprigen Fleischstücken und zarten Fischteilen macht dieses Menü besonders bekömmlich und schmackhaft. Das Alleinfuttermittel ist perfekt für eine ausgewogene, artgerechte Ernährung.
Zusammensetzung 
Fisch (38 %) - Hering und Weißfisch &amp; Lachs: Reich an Omega-3-Fettsäuren, die die Haut- und Fellgesundheit fördern und entzündungshemmend wirken.
Hühnermuskelfleisch (19 %): Liefert leicht verdauliches Eiweiß für gesunde Muskeln und Energie.
Rinderlunge (17 %): Versorgt mit B-Vitaminen und sorgt für mehr Vitalität.
Rinderleber (13 %): Enthält Vitamin A, Eisen und Zink – für ein starkes Immunsystem und gesunde Blutbildung.
Rinderstrossen (12 %): Natürliche Quelle für Kalzium und Kollagen, fördert Knochen, Gelenke und Zähne.
Anteile &lt; 1 %:
Kalzium und Salz: Unterstützen den Elektrolythaushalt und eine optimale Mineralstoffversorgung.
Warum die Eismeer Terrine von ANIfit?
Ideale Balance: Die ausgewogene Kombination aus Fleisch und Fisch sorgt für eine abwechslungsreiche und nährstoffreiche Mahlzeit.
Schonend für den Magen: Die Kombination aus knusprigen Fleischstücken und weichen Fischteilen ist besonders leicht verdaulich.
Hoher Fleisch- und Fischanteil: 99 % garantieren eine natürliche, proteinreiche Ernährung.
Natürlich und rein: Ohne künstliche Zusätze, Farb- und Lockstoffe oder Konservierungsmittel.
Perfekt für jede Lebensphase: Von Kitten bis Senior – die Rezeptur passt zu den Bedürfnissen von Katzen jeden Alters.
Fazit 
Eismeer Terrine bietet eine Mahlzeit, die Katzen begeistert und gleichzeitig optimal versorgt. Die harmonische Verbindung von Fleisch und Fisch liefert alles, was Katzen für ein glückliches und vitales Leben brauchen – natürlich, gesund und unwiderstehlich lecker.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2" s="6" t="inlineStr">
        <is>
          <t>in_stock</t>
        </is>
      </c>
      <c r="E182" s="6" t="n"/>
      <c r="F182" s="6" t="n"/>
      <c r="G182" s="11" t="inlineStr">
        <is>
          <t>https://www.fellkost.de/content/partners/466587/shop/shop/article/11254/eismeer_terrine_400g_6_stueck_</t>
        </is>
      </c>
      <c r="H182" s="6" t="n"/>
      <c r="I182" s="13" t="inlineStr">
        <is>
          <t>https://www.fellkost.de/static/content/e18829/e18831/e18851/e18856/e18874/image_shop1/ger/Katze%20Nassfutter%20Eismeer%20Terrine%20400%20g%201920%20x%201920_w960_h960_q90_jpg.jpg?checksum=488433d91e8b4858216c8c29ba308eb14a69337c</t>
        </is>
      </c>
      <c r="J182" s="7" t="n">
        <v>25.49</v>
      </c>
      <c r="K182" s="6" t="n"/>
      <c r="L182" s="6" t="n"/>
      <c r="M182" s="6" t="inlineStr">
        <is>
          <t>no</t>
        </is>
      </c>
      <c r="N182" s="6" t="n"/>
      <c r="O182" s="6" t="n"/>
      <c r="P182" s="6" t="inlineStr">
        <is>
          <t>ANIfit</t>
        </is>
      </c>
      <c r="Q182" s="13" t="n"/>
      <c r="R182" s="6" t="n"/>
      <c r="S182" s="6" t="n"/>
      <c r="T182" s="6" t="inlineStr">
        <is>
          <t>new</t>
        </is>
      </c>
      <c r="U182" s="6" t="inlineStr">
        <is>
          <t>no</t>
        </is>
      </c>
      <c r="V182" s="6" t="n"/>
      <c r="W182" s="6" t="n"/>
      <c r="X182" s="6" t="n"/>
      <c r="Y182" s="6" t="n"/>
      <c r="Z182" s="6" t="n"/>
      <c r="AA182" s="6" t="n"/>
      <c r="AB182" s="6" t="n"/>
      <c r="AC182" s="6" t="n"/>
      <c r="AD182" s="6" t="n"/>
      <c r="AE182" s="6" t="n"/>
      <c r="AF182" s="6" t="n"/>
      <c r="AG182" s="6" t="n"/>
      <c r="AH182" s="6" t="n"/>
      <c r="AI182" s="6" t="n"/>
      <c r="AJ182" s="6" t="n"/>
      <c r="AK182" s="6" t="n"/>
      <c r="AL182" s="3" t="n">
        <v>500</v>
      </c>
    </row>
    <row r="183">
      <c r="A183" s="3" t="n">
        <v>11255</v>
      </c>
      <c r="B183" s="14" t="inlineStr">
        <is>
          <t>Eismeer Terrine 810g  | Anifit Nassfutter für Katzen</t>
        </is>
      </c>
      <c r="C183" s="13" t="inlineStr">
        <is>
          <t>Mit der Eismeer Terrine bringen Sie Abwechslung und Qualität in den Napf.
Diese raffinierte Kombination aus Fleisch und Fisch bietet eine Fülle an wertvollen Nährstoffen, die speziell auf die Bedürfnisse von Katzen abgestimmt sind.
Die harmonische Mischung aus knusprigen Fleischstücken und zarten Fischteilen macht dieses Menü besonders bekömmlich und schmackhaft. Das Alleinfuttermittel ist perfekt für eine ausgewogene, artgerechte Ernährung.
Zusammensetzung 
Fisch (38 %) - Hering und Weißfisch &amp; Lachs: Reich an Omega-3-Fettsäuren, die die Haut- und Fellgesundheit fördern und entzündungshemmend wirken.
Hühnermuskelfleisch (19 %): Liefert leicht verdauliches Eiweiß für gesunde Muskeln und Energie.
Rinderlunge (17 %): Versorgt mit B-Vitaminen und sorgt für mehr Vitalität.
Rinderleber (13 %): Enthält Vitamin A, Eisen und Zink – für ein starkes Immunsystem und gesunde Blutbildung.
Rinderstrossen (12 %): Natürliche Quelle für Kalzium und Kollagen, fördert Knochen, Gelenke und Zähne.
Anteile &lt; 1 %:
Kalzium und Salz: Unterstützen den Elektrolythaushalt und eine optimale Mineralstoffversorgung.
Warum die Eismeer Terrine von ANIfit?
Ideale Balance: Die ausgewogene Kombination aus Fleisch und Fisch sorgt für eine abwechslungsreiche und nährstoffreiche Mahlzeit.
Schonend für den Magen: Die Kombination aus knusprigen Fleischstücken und weichen Fischteilen ist besonders leicht verdaulich.
Hoher Fleisch- und Fischanteil: 99 % garantieren eine natürliche, proteinreiche Ernährung.
Natürlich und rein: Ohne künstliche Zusätze, Farb- und Lockstoffe oder Konservierungsmittel.
Perfekt für jede Lebensphase: Von Kitten bis Senior – die Rezeptur passt zu den Bedürfnissen von Katzen jeden Alters.
Fazit 
Eismeer Terrine bietet eine Mahlzeit, die Katzen begeistert und gleichzeitig optimal versorgt. Die harmonische Verbindung von Fleisch und Fisch liefert alles, was Katzen für ein glückliches und vitales Leben brauchen – natürlich, gesund und unwiderstehlich lecker.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3" s="6" t="inlineStr">
        <is>
          <t>in_stock</t>
        </is>
      </c>
      <c r="E183" s="6" t="n"/>
      <c r="F183" s="6" t="n"/>
      <c r="G183" s="11" t="inlineStr">
        <is>
          <t>https://www.fellkost.de/content/partners/466587/shop/shop/article/11255/eismeer_terrine_810g_6_stueck_</t>
        </is>
      </c>
      <c r="H183" s="6" t="n"/>
      <c r="I183" s="13" t="inlineStr">
        <is>
          <t>https://www.fellkost.de/static/content/e18829/e18831/e18851/e18856/e18875/image_shop1/ger/Katze%20Nassfutter%20Eismeer%20Terrine%20810%20g%201920%20x%201920_w480_h480_q90_jpg.jpg?checksum=30d74d81fa608ec2c9c3f12053f3d1d72c992bd0</t>
        </is>
      </c>
      <c r="J183" s="7" t="n">
        <v>34.49</v>
      </c>
      <c r="K183" s="6" t="n"/>
      <c r="L183" s="6" t="n"/>
      <c r="M183" s="6" t="inlineStr">
        <is>
          <t>no</t>
        </is>
      </c>
      <c r="N183" s="6" t="n"/>
      <c r="O183" s="6" t="n"/>
      <c r="P183" s="6" t="inlineStr">
        <is>
          <t>ANIfit</t>
        </is>
      </c>
      <c r="Q183" s="13" t="n"/>
      <c r="R183" s="6" t="n"/>
      <c r="S183" s="6" t="n"/>
      <c r="T183" s="6" t="inlineStr">
        <is>
          <t>new</t>
        </is>
      </c>
      <c r="U183" s="6" t="inlineStr">
        <is>
          <t>no</t>
        </is>
      </c>
      <c r="V183" s="6" t="n"/>
      <c r="W183" s="6" t="n"/>
      <c r="X183" s="6" t="n"/>
      <c r="Y183" s="6" t="n"/>
      <c r="Z183" s="6" t="n"/>
      <c r="AA183" s="6" t="n"/>
      <c r="AB183" s="6" t="n"/>
      <c r="AC183" s="6" t="n"/>
      <c r="AD183" s="6" t="n"/>
      <c r="AE183" s="6" t="n"/>
      <c r="AF183" s="6" t="n"/>
      <c r="AG183" s="6" t="n"/>
      <c r="AH183" s="6" t="n"/>
      <c r="AI183" s="6" t="n"/>
      <c r="AJ183" s="6" t="n"/>
      <c r="AK183" s="6" t="n"/>
      <c r="AL183" s="3" t="n">
        <v>500</v>
      </c>
    </row>
    <row r="184">
      <c r="A184" s="3" t="n">
        <v>11261</v>
      </c>
      <c r="B184" s="14" t="inlineStr">
        <is>
          <t>Puterichs Delight 200g  | Anifit Nassfutter für Katzen</t>
        </is>
      </c>
      <c r="C184" s="13" t="inlineStr">
        <is>
          <t>Puterichs Delight ist das ideale Nassfutter für Katzen mit empfindlichem Magen oder besonderen Ernährungsbedürfnissen.
Die Kombination aus zarten Truthahn- und Hühnermuskelfleischstücken sorgt für eine besonders bekömmliche und leicht verdauliche Mahlzeit.
Dieses Schongericht ist perfekt geeignet für Futterumstellungen, Erholungsphasen oder als leichte Kost in stressigen Zeiten – sanft zum Magen und reich an wertvollen Nährstoffen.
Zusammensetzung
Hühnermuskelfleisch (65 %): Eine leicht verdauliche Proteinquelle, die den Muskelaufbau unterstützt.
Truthahnmuskelfleisch (14 %): Zart und mager, liefert hochwertiges Eiweiß und ist besonders bekömmlich.
Rinderlunge (14 %): Fettarm und reich an B-Vitaminen, ideal für empfindliche Katzen.
Hühnerleber (6 %): Liefert essenzielle Nährstoffe wie Vitamin A, Eisen und Zink für ein starkes Immunsystem.
Anteile &lt; 1 %:
Zichorie (Inulin): Unterstützt die Darmflora und fördert eine gesunde Verdauung.
Tomatenpulver: Eine natürliche Quelle für Antioxidantien, die die Zellgesundheit fördern.
Salz: Zur optimalen Mineralstoffversorgung.
Warum Puterichs Delight von ANIfit?
Schonend und bekömmlich: Perfekt für Katzen mit empfindlichem Magen, zur Unterstützung in Krankheitsphasen oder bei Futterumstellungen.
Hoher Fleischanteil: Mit 99 % liefert dieses Nassfutter hochwertige Proteine und essenzielle Nährstoffe.
Leicht verdaulich: Truthahn und Hühnermuskelfleisch sind sanft zum Magen und ideal für sensible Katzen.
Natürlich und rein: Ohne künstliche Zusätze, Farb- und Lockstoffe oder Konservierungsmittel.
Für jede Lebensphase geeignet: Ob Kitten, Adult oder Senior – optimal abgestimmt auf die Bedürfnisse jeder Katze.
Fazit
Mit Puterichs Delight bietet ANIfit eine ausgewogene, bekömmliche Mahlzeit, die sich besonders für sensible Katzen eignet. Diese leichte und schmackhafte Kost unterstützt die Verdauung und sorgt gleichzeitig für die Versorgung mit allen wichtigen Nährstoffen – für ein vitales und glückliches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4" s="6" t="inlineStr">
        <is>
          <t>in_stock</t>
        </is>
      </c>
      <c r="E184" s="6" t="n"/>
      <c r="F184" s="6" t="n"/>
      <c r="G184" s="11" t="inlineStr">
        <is>
          <t>https://www.fellkost.de/content/partners/466587/shop/shop/article/11261/puterichs_delight_200g_6_stueck_?category=62197</t>
        </is>
      </c>
      <c r="H184" s="6" t="n"/>
      <c r="I184" s="13" t="inlineStr">
        <is>
          <t>https://www.fellkost.de/static/content/e18829/e18831/e18851/e18856/e18881/image_shop1/ger/Katze%20Nassfutter%20Puterichs%20Delight%20200%20g%201920%20x%201920_w480_h480_q90_jpg.jpg?checksum=62288d6a5228e58cca284e5572ef20cce443ab53</t>
        </is>
      </c>
      <c r="J184" s="7" t="n">
        <v>19.49</v>
      </c>
      <c r="K184" s="6" t="n"/>
      <c r="L184" s="6" t="n"/>
      <c r="M184" s="6" t="inlineStr">
        <is>
          <t>no</t>
        </is>
      </c>
      <c r="N184" s="6" t="n"/>
      <c r="O184" s="6" t="n"/>
      <c r="P184" s="6" t="inlineStr">
        <is>
          <t>ANIfit</t>
        </is>
      </c>
      <c r="Q184" s="13" t="n"/>
      <c r="R184" s="6" t="n"/>
      <c r="S184" s="6" t="n"/>
      <c r="T184" s="6" t="inlineStr">
        <is>
          <t>new</t>
        </is>
      </c>
      <c r="U184" s="6" t="inlineStr">
        <is>
          <t>no</t>
        </is>
      </c>
      <c r="V184" s="6" t="n"/>
      <c r="W184" s="6" t="n"/>
      <c r="X184" s="6" t="n"/>
      <c r="Y184" s="6" t="n"/>
      <c r="Z184" s="6" t="n"/>
      <c r="AA184" s="6" t="n"/>
      <c r="AB184" s="6" t="n"/>
      <c r="AC184" s="6" t="n"/>
      <c r="AD184" s="6" t="n"/>
      <c r="AE184" s="6" t="n"/>
      <c r="AF184" s="6" t="n"/>
      <c r="AG184" s="6" t="n"/>
      <c r="AH184" s="6" t="n"/>
      <c r="AI184" s="6" t="n"/>
      <c r="AJ184" s="6" t="n"/>
      <c r="AK184" s="6" t="n"/>
      <c r="AL184" s="3" t="n">
        <v>500</v>
      </c>
    </row>
    <row r="185">
      <c r="A185" s="3" t="n">
        <v>11262</v>
      </c>
      <c r="B185" s="14" t="inlineStr">
        <is>
          <t>Puterichs Delight 400g  | Anifit Nassfutter für Katzen</t>
        </is>
      </c>
      <c r="C185" s="13" t="inlineStr">
        <is>
          <t>Puterichs Delight ist das ideale Nassfutter für Katzen mit empfindlichem Magen oder besonderen Ernährungsbedürfnissen.
Die Kombination aus zarten Truthahn- und Hühnermuskelfleischstücken sorgt für eine besonders bekömmliche und leicht verdauliche Mahlzeit.
Dieses Schongericht ist perfekt geeignet für Futterumstellungen, Erholungsphasen oder als leichte Kost in stressigen Zeiten – sanft zum Magen und reich an wertvollen Nährstoffen.
Zusammensetzung
Hühnermuskelfleisch (65 %): Eine leicht verdauliche Proteinquelle, die den Muskelaufbau unterstützt.
Truthahnmuskelfleisch (14 %): Zart und mager, liefert hochwertiges Eiweiß und ist besonders bekömmlich.
Rinderlunge (14 %): Fettarm und reich an B-Vitaminen, ideal für empfindliche Katzen.
Hühnerleber (6 %): Liefert essenzielle Nährstoffe wie Vitamin A, Eisen und Zink für ein starkes Immunsystem.
Anteile &lt; 1 %:
Zichorie (Inulin): Unterstützt die Darmflora und fördert eine gesunde Verdauung.
Tomatenpulver: Eine natürliche Quelle für Antioxidantien, die die Zellgesundheit fördern.
Salz: Zur optimalen Mineralstoffversorgung.
Warum Puterichs Delight von ANIfit?
Schonend und bekömmlich: Perfekt für Katzen mit empfindlichem Magen, zur Unterstützung in Krankheitsphasen oder bei Futterumstellungen.
Hoher Fleischanteil: Mit 99 % liefert dieses Nassfutter hochwertige Proteine und essenzielle Nährstoffe.
Leicht verdaulich: Truthahn und Hühnermuskelfleisch sind sanft zum Magen und ideal für sensible Katzen.
Natürlich und rein: Ohne künstliche Zusätze, Farb- und Lockstoffe oder Konservierungsmittel.
Für jede Lebensphase geeignet: Ob Kitten, Adult oder Senior – optimal abgestimmt auf die Bedürfnisse jeder Katze.
Fazit
Mit Puterichs Delight bietet ANIfit eine ausgewogene, bekömmliche Mahlzeit, die sich besonders für sensible Katzen eignet. Diese leichte und schmackhafte Kost unterstützt die Verdauung und sorgt gleichzeitig für die Versorgung mit allen wichtigen Nährstoffen – für ein vitales und glückliches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5" s="6" t="inlineStr">
        <is>
          <t>in_stock</t>
        </is>
      </c>
      <c r="E185" s="6" t="n"/>
      <c r="F185" s="6" t="n"/>
      <c r="G185" s="11" t="inlineStr">
        <is>
          <t>https://www.fellkost.de/content/partners/466587/shop/shop/article/11262/puterichs_delight_400g_6_stueck_</t>
        </is>
      </c>
      <c r="H185" s="6" t="n"/>
      <c r="I185" s="13" t="inlineStr">
        <is>
          <t>https://www.fellkost.de/static/content/e18829/e18831/e18851/e18856/e18882/image_shop1/ger/Katze%20Nassfutter%20Puterichs%20Delight%20400%20g%201920%20x%201920_w480_h480_q90_jpg.jpg?checksum=de7c2e74a7362a5bff47cce588afc1aebedb7ce9</t>
        </is>
      </c>
      <c r="J185" s="7" t="n">
        <v>25.49</v>
      </c>
      <c r="K185" s="6" t="n"/>
      <c r="L185" s="6" t="n"/>
      <c r="M185" s="6" t="inlineStr">
        <is>
          <t>no</t>
        </is>
      </c>
      <c r="N185" s="6" t="n"/>
      <c r="O185" s="6" t="n"/>
      <c r="P185" s="6" t="inlineStr">
        <is>
          <t>ANIfit</t>
        </is>
      </c>
      <c r="Q185" s="13" t="n"/>
      <c r="R185" s="6" t="n"/>
      <c r="S185" s="6" t="n"/>
      <c r="T185" s="6" t="inlineStr">
        <is>
          <t>new</t>
        </is>
      </c>
      <c r="U185" s="6" t="inlineStr">
        <is>
          <t>no</t>
        </is>
      </c>
      <c r="V185" s="6" t="n"/>
      <c r="W185" s="6" t="n"/>
      <c r="X185" s="6" t="n"/>
      <c r="Y185" s="6" t="n"/>
      <c r="Z185" s="6" t="n"/>
      <c r="AA185" s="6" t="n"/>
      <c r="AB185" s="6" t="n"/>
      <c r="AC185" s="6" t="n"/>
      <c r="AD185" s="6" t="n"/>
      <c r="AE185" s="6" t="n"/>
      <c r="AF185" s="6" t="n"/>
      <c r="AG185" s="6" t="n"/>
      <c r="AH185" s="6" t="n"/>
      <c r="AI185" s="6" t="n"/>
      <c r="AJ185" s="6" t="n"/>
      <c r="AK185" s="6" t="n"/>
      <c r="AL185" s="3" t="n">
        <v>500</v>
      </c>
    </row>
    <row r="186">
      <c r="A186" s="3" t="n">
        <v>11263</v>
      </c>
      <c r="B186" s="14" t="inlineStr">
        <is>
          <t>Puterichs Delight 810g  | Anifit Nassfutter für Katzen</t>
        </is>
      </c>
      <c r="C186" s="13" t="inlineStr">
        <is>
          <t>Puterichs Delight ist das ideale Nassfutter für Katzen mit empfindlichem Magen oder besonderen Ernährungsbedürfnissen.
Die Kombination aus zarten Truthahn- und Hühnermuskelfleischstücken sorgt für eine besonders bekömmliche und leicht verdauliche Mahlzeit.
Dieses Schongericht ist perfekt geeignet für Futterumstellungen, Erholungsphasen oder als leichte Kost in stressigen Zeiten – sanft zum Magen und reich an wertvollen Nährstoffen.
Zusammensetzung
Hühnermuskelfleisch (65 %): Eine leicht verdauliche Proteinquelle, die den Muskelaufbau unterstützt.
Truthahnmuskelfleisch (14 %): Zart und mager, liefert hochwertiges Eiweiß und ist besonders bekömmlich.
Rinderlunge (14 %): Fettarm und reich an B-Vitaminen, ideal für empfindliche Katzen.
Hühnerleber (6 %): Liefert essenzielle Nährstoffe wie Vitamin A, Eisen und Zink für ein starkes Immunsystem.
Anteile &lt; 1 %:
Zichorie (Inulin): Unterstützt die Darmflora und fördert eine gesunde Verdauung.
Tomatenpulver: Eine natürliche Quelle für Antioxidantien, die die Zellgesundheit fördern.
Salz: Zur optimalen Mineralstoffversorgung.
Warum Puterichs Delight von ANIfit?
Schonend und bekömmlich: Perfekt für Katzen mit empfindlichem Magen, zur Unterstützung in Krankheitsphasen oder bei Futterumstellungen.
Hoher Fleischanteil: Mit 99 % liefert dieses Nassfutter hochwertige Proteine und essenzielle Nährstoffe.
Leicht verdaulich: Truthahn und Hühnermuskelfleisch sind sanft zum Magen und ideal für sensible Katzen.
Natürlich und rein: Ohne künstliche Zusätze, Farb- und Lockstoffe oder Konservierungsmittel.
Für jede Lebensphase geeignet: Ob Kitten, Adult oder Senior – optimal abgestimmt auf die Bedürfnisse jeder Katze.
Fazit
Mit Puterichs Delight bietet ANIfit eine ausgewogene, bekömmliche Mahlzeit, die sich besonders für sensible Katzen eignet. Diese leichte und schmackhafte Kost unterstützt die Verdauung und sorgt gleichzeitig für die Versorgung mit allen wichtigen Nährstoffen – für ein vitales und glückliches Katzenleben.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6" s="6" t="inlineStr">
        <is>
          <t>in_stock</t>
        </is>
      </c>
      <c r="E186" s="6" t="n"/>
      <c r="F186" s="6" t="n"/>
      <c r="G186" s="11" t="inlineStr">
        <is>
          <t>https://www.fellkost.de/content/partners/466587/shop/shop/article/11263/puterichs_delight_810g_6_stueck_</t>
        </is>
      </c>
      <c r="H186" s="6" t="n"/>
      <c r="I186" s="13" t="inlineStr">
        <is>
          <t>https://www.fellkost.de/static/content/e18829/e18831/e18851/e18856/e18883/image_shop1/ger/Katze%20Nassfutter%20Puterichs%20Delight%20810%20g%201920%20x%201920_w480_h480_q90_jpg.jpg?checksum=b649c7ed20121c745137eb9f9c780d2b972b56cd</t>
        </is>
      </c>
      <c r="J186" s="7" t="n">
        <v>34.49</v>
      </c>
      <c r="K186" s="6" t="n"/>
      <c r="L186" s="6" t="n"/>
      <c r="M186" s="6" t="inlineStr">
        <is>
          <t>no</t>
        </is>
      </c>
      <c r="N186" s="6" t="n"/>
      <c r="O186" s="6" t="n"/>
      <c r="P186" s="6" t="inlineStr">
        <is>
          <t>ANIfit</t>
        </is>
      </c>
      <c r="Q186" s="13" t="n"/>
      <c r="R186" s="6" t="n"/>
      <c r="S186" s="6" t="n"/>
      <c r="T186" s="6" t="inlineStr">
        <is>
          <t>new</t>
        </is>
      </c>
      <c r="U186" s="6" t="inlineStr">
        <is>
          <t>no</t>
        </is>
      </c>
      <c r="V186" s="6" t="n"/>
      <c r="W186" s="6" t="n"/>
      <c r="X186" s="6" t="n"/>
      <c r="Y186" s="6" t="n"/>
      <c r="Z186" s="6" t="n"/>
      <c r="AA186" s="6" t="n"/>
      <c r="AB186" s="6" t="n"/>
      <c r="AC186" s="6" t="n"/>
      <c r="AD186" s="6" t="n"/>
      <c r="AE186" s="6" t="n"/>
      <c r="AF186" s="6" t="n"/>
      <c r="AG186" s="6" t="n"/>
      <c r="AH186" s="6" t="n"/>
      <c r="AI186" s="6" t="n"/>
      <c r="AJ186" s="6" t="n"/>
      <c r="AK186" s="6" t="n"/>
      <c r="AL186" s="3" t="n">
        <v>500</v>
      </c>
    </row>
    <row r="187">
      <c r="A187" s="3" t="n">
        <v>11259</v>
      </c>
      <c r="B187" s="14" t="inlineStr">
        <is>
          <t>Powertöpfchen 200g  | Anifit Nassfutter für Katzen</t>
        </is>
      </c>
      <c r="C187" s="13" t="inlineStr">
        <is>
          <t>Mit einer kraftvollen Mischung aus würzigem Lammmuskelfleisch und zartem Hühnermuskelfleisch liefert dieses Menü hochwertige Proteine und essenzielle Nährstoffe für Energie, Vitalität und Wohlbefinden.
Die sorgfältig ausgewählten Zutaten dieses Alleinfuttermittels sorgen nicht nur für Kraft, sondern auch für einen unvergleichlich guten Geschmack, der jede Katze begeistert.
Zusammensetzung
Hühnermuskelfleisch (54 %): Eine leicht verdauliche, fettarme Eiweißquelle für den Muskelaufbau und die Zellerneuerung.
Lammmuskelfleisch (45 %): Würzig und reich an wichtigen Nährstoffen wie Eisen und Zink, stärkt das Immunsystem und fördert die Vitalität.
Anteile &lt; 1 %:
Tomatenpulver: Natürliche Antioxidantien, die die Zellgesundheit fördern.
Hagebutte: Liefert Vitamin C zur Unterstützung des Immunsystems.
Dill: Fördert die Verdauung und sorgt für eine harmonische Balance.
Kalzium und Salz: Optimieren die Mineralstoffversorgung für starke Knochen und Zähne.
Warum Powertöpfchen von ANIfit?
Hoher Fleischanteil: 99 % garantieren eine proteinreiche und artgerechte Ernährung.
Energiegeladen: Perfekt für aktive Katzen, die viel Energie benötigen, oder für Zeiten erhöhter Belastung.
Natürlicher Geschmack: Die Kombination aus Hühnchen und Lamm sorgt für eine Mahlzeit, die Katzen lieben.
Rein und natürlich: Frei von künstlichen Zusätzen, Konservierungsstoffen und Lockstoffen.
Für alle Lebensphasen geeignet: Optimal abgestimmt für Kitten, Adult und Senior.
Fazit 
Das Powertöpfchen liefert eine vollwertige, kraftvolle Mahlzeit (Alleinfuttermittel), die Katzen mit Energie und Nährstoffen für den ganzen Tag versorgt. Die einzigartige Kombination aus Lamm und Hühnchen bietet nicht nur gesundheitliche Vorteile, sondern auch unvergleichlichen Genuss.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7" s="6" t="inlineStr">
        <is>
          <t>in_stock</t>
        </is>
      </c>
      <c r="E187" s="6" t="n"/>
      <c r="F187" s="6" t="n"/>
      <c r="G187" s="11" t="inlineStr">
        <is>
          <t>https://www.fellkost.de/content/partners/466587/shop/shop/article/11259/powertoepfchen_200g_6_stueck_?category=62197</t>
        </is>
      </c>
      <c r="H187" s="6" t="n"/>
      <c r="I187" s="13" t="inlineStr">
        <is>
          <t>https://www.fellkost.de/static/content/e18829/e18831/e18851/e18856/e18879/image_shop1/ger/Katze%20Nassfutter%20Powert%C3%B6pfchen%20200%20g%201920%20x%201920_w480_h480_q90_jpg.jpg?checksum=77ce358f5607a29605fdf0a5d9f4d497901edb7c</t>
        </is>
      </c>
      <c r="J187" s="7" t="n">
        <v>20.99</v>
      </c>
      <c r="K187" s="6" t="n"/>
      <c r="L187" s="6" t="n"/>
      <c r="M187" s="6" t="inlineStr">
        <is>
          <t>no</t>
        </is>
      </c>
      <c r="N187" s="6" t="n"/>
      <c r="O187" s="6" t="n"/>
      <c r="P187" s="6" t="inlineStr">
        <is>
          <t>ANIfit</t>
        </is>
      </c>
      <c r="Q187" s="13" t="n"/>
      <c r="R187" s="6" t="n"/>
      <c r="S187" s="6" t="n"/>
      <c r="T187" s="6" t="inlineStr">
        <is>
          <t>new</t>
        </is>
      </c>
      <c r="U187" s="6" t="inlineStr">
        <is>
          <t>no</t>
        </is>
      </c>
      <c r="V187" s="6" t="n"/>
      <c r="W187" s="6" t="n"/>
      <c r="X187" s="6" t="n"/>
      <c r="Y187" s="6" t="n"/>
      <c r="Z187" s="6" t="n"/>
      <c r="AA187" s="6" t="n"/>
      <c r="AB187" s="6" t="n"/>
      <c r="AC187" s="6" t="n"/>
      <c r="AD187" s="6" t="n"/>
      <c r="AE187" s="6" t="n"/>
      <c r="AF187" s="6" t="n"/>
      <c r="AG187" s="6" t="n"/>
      <c r="AH187" s="6" t="n"/>
      <c r="AI187" s="6" t="n"/>
      <c r="AJ187" s="6" t="n"/>
      <c r="AK187" s="6" t="n"/>
      <c r="AL187" s="3" t="n">
        <v>500</v>
      </c>
    </row>
    <row r="188">
      <c r="A188" s="3" t="n">
        <v>11260</v>
      </c>
      <c r="B188" s="14" t="inlineStr">
        <is>
          <t>Powertöpfchen 400g  | Anifit Nassfutter für Katzen</t>
        </is>
      </c>
      <c r="C188" s="13" t="inlineStr">
        <is>
          <t>Mit einer kraftvollen Mischung aus würzigem Lammmuskelfleisch und zartem Hühnermuskelfleisch liefert dieses Menü hochwertige Proteine und essenzielle Nährstoffe für Energie, Vitalität und Wohlbefinden.
Die sorgfältig ausgewählten Zutaten dieses Alleinfuttermittels sorgen nicht nur für Kraft, sondern auch für einen unvergleichlich guten Geschmack, der jede Katze begeistert.
Zusammensetzung
Hühnermuskelfleisch (54 %): Eine leicht verdauliche, fettarme Eiweißquelle für den Muskelaufbau und die Zellerneuerung.
Lammmuskelfleisch (45 %): Würzig und reich an wichtigen Nährstoffen wie Eisen und Zink, stärkt das Immunsystem und fördert die Vitalität.
Anteile &lt; 1 %:
Tomatenpulver: Natürliche Antioxidantien, die die Zellgesundheit fördern.
Hagebutte: Liefert Vitamin C zur Unterstützung des Immunsystems.
Dill: Fördert die Verdauung und sorgt für eine harmonische Balance.
Kalzium und Salz: Optimieren die Mineralstoffversorgung für starke Knochen und Zähne.
Warum Powertöpfchen von ANIfit?
Hoher Fleischanteil: 99 % garantieren eine proteinreiche und artgerechte Ernährung.
Energiegeladen: Perfekt für aktive Katzen, die viel Energie benötigen, oder für Zeiten erhöhter Belastung.
Natürlicher Geschmack: Die Kombination aus Hühnchen und Lamm sorgt für eine Mahlzeit, die Katzen lieben.
Rein und natürlich: Frei von künstlichen Zusätzen, Konservierungsstoffen und Lockstoffen.
Für alle Lebensphasen geeignet: Optimal abgestimmt für Kitten, Adult und Senior.
Fazit 
Das Powertöpfchen liefert eine vollwertige, kraftvolle Mahlzeit (Alleinfuttermittel), die Katzen mit Energie und Nährstoffen für den ganzen Tag versorgt. Die einzigartige Kombination aus Lamm und Hühnchen bietet nicht nur gesundheitliche Vorteile, sondern auch unvergleichlichen Genuss.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8" s="6" t="inlineStr">
        <is>
          <t>in_stock</t>
        </is>
      </c>
      <c r="E188" s="6" t="n"/>
      <c r="F188" s="6" t="n"/>
      <c r="G188" s="11" t="inlineStr">
        <is>
          <t>https://www.fellkost.de/content/partners/466587/shop/shop/article/11260/powertoepfchen_400g_6_stueck_</t>
        </is>
      </c>
      <c r="H188" s="6" t="n"/>
      <c r="I188" s="13" t="inlineStr">
        <is>
          <t>https://www.fellkost.de/static/content/e18829/e18831/e18851/e18856/e18880/image_shop1/ger/Katze%20Nassfutter%20Powert%C3%B6pfchen%20400%20g%201920%20x%201920_w480_h480_q90_jpg.jpg?checksum=bc160473e6bb61666ee44d566beb43fb5e687149</t>
        </is>
      </c>
      <c r="J188" s="7" t="n">
        <v>26.99</v>
      </c>
      <c r="K188" s="6" t="n"/>
      <c r="L188" s="6" t="n"/>
      <c r="M188" s="6" t="inlineStr">
        <is>
          <t>no</t>
        </is>
      </c>
      <c r="N188" s="6" t="n"/>
      <c r="O188" s="6" t="n"/>
      <c r="P188" s="6" t="inlineStr">
        <is>
          <t>ANIfit</t>
        </is>
      </c>
      <c r="Q188" s="13" t="n"/>
      <c r="R188" s="6" t="n"/>
      <c r="S188" s="6" t="n"/>
      <c r="T188" s="6" t="inlineStr">
        <is>
          <t>new</t>
        </is>
      </c>
      <c r="U188" s="6" t="inlineStr">
        <is>
          <t>no</t>
        </is>
      </c>
      <c r="V188" s="6" t="n"/>
      <c r="W188" s="6" t="n"/>
      <c r="X188" s="6" t="n"/>
      <c r="Y188" s="6" t="n"/>
      <c r="Z188" s="6" t="n"/>
      <c r="AA188" s="6" t="n"/>
      <c r="AB188" s="6" t="n"/>
      <c r="AC188" s="6" t="n"/>
      <c r="AD188" s="6" t="n"/>
      <c r="AE188" s="6" t="n"/>
      <c r="AF188" s="6" t="n"/>
      <c r="AG188" s="6" t="n"/>
      <c r="AH188" s="6" t="n"/>
      <c r="AI188" s="6" t="n"/>
      <c r="AJ188" s="6" t="n"/>
      <c r="AK188" s="6" t="n"/>
      <c r="AL188" s="3" t="n">
        <v>500</v>
      </c>
    </row>
    <row r="189">
      <c r="A189" s="3" t="n">
        <v>45147</v>
      </c>
      <c r="B189" s="14" t="inlineStr">
        <is>
          <t>Powertöpfchen 810g  | Anifit Nassfutter für Katzen</t>
        </is>
      </c>
      <c r="C189" s="13" t="inlineStr">
        <is>
          <t>Mit einer kraftvollen Mischung aus würzigem Lammmuskelfleisch und zartem Hühnermuskelfleisch liefert dieses Menü hochwertige Proteine und essenzielle Nährstoffe für Energie, Vitalität und Wohlbefinden.
Die sorgfältig ausgewählten Zutaten dieses Alleinfuttermittels sorgen nicht nur für Kraft, sondern auch für einen unvergleichlich guten Geschmack, der jede Katze begeistert.
Zusammensetzung
Hühnermuskelfleisch (54 %): Eine leicht verdauliche, fettarme Eiweißquelle für den Muskelaufbau und die Zellerneuerung.
Lammmuskelfleisch (45 %): Würzig und reich an wichtigen Nährstoffen wie Eisen und Zink, stärkt das Immunsystem und fördert die Vitalität.
Anteile &lt; 1 %:
Tomatenpulver: Natürliche Antioxidantien, die die Zellgesundheit fördern.
Hagebutte: Liefert Vitamin C zur Unterstützung des Immunsystems.
Dill: Fördert die Verdauung und sorgt für eine harmonische Balance.
Kalzium und Salz: Optimieren die Mineralstoffversorgung für starke Knochen und Zähne.
Warum Powertöpfchen von ANIfit?
Hoher Fleischanteil: 99 % garantieren eine proteinreiche und artgerechte Ernährung.
Energiegeladen: Perfekt für aktive Katzen, die viel Energie benötigen, oder für Zeiten erhöhter Belastung.
Natürlicher Geschmack: Die Kombination aus Hühnchen und Lamm sorgt für eine Mahlzeit, die Katzen lieben.
Rein und natürlich: Frei von künstlichen Zusätzen, Konservierungsstoffen und Lockstoffen.
Für alle Lebensphasen geeignet: Optimal abgestimmt für Kitten, Adult und Senior.
Fazit 
Das Powertöpfchen liefert eine vollwertige, kraftvolle Mahlzeit (Alleinfuttermittel), die Katzen mit Energie und Nährstoffen für den ganzen Tag versorgt. Die einzigartige Kombination aus Lamm und Hühnchen bietet nicht nur gesundheitliche Vorteile, sondern auch unvergleichlichen Genuss.
Zubereitung
Vollkommen ausgewogene Katzennahrung. Servierfertig, vorzugsweise zimmerwarm füttern.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89" s="6" t="inlineStr">
        <is>
          <t>in_stock</t>
        </is>
      </c>
      <c r="E189" s="6" t="n"/>
      <c r="F189" s="6" t="n"/>
      <c r="G189" s="11" t="inlineStr">
        <is>
          <t>https://www.fellkost.de/content/partners/466587/shop/shop/article/45147/powertoepfchen_810g_6_stueck_</t>
        </is>
      </c>
      <c r="H189" s="6" t="n"/>
      <c r="I189" s="13" t="inlineStr">
        <is>
          <t>https://www.fellkost.de/static/content/e18829/e18831/e18851/e18856/e44552/image_shop1/ger/Katze%20Nassfutter%20Powert%C3%B6pfchen%20810%20g%201920%20x%201920_w480_h480_q90_jpg.jpg?checksum=2a1519264718746ca05eb70718989b28780b1286</t>
        </is>
      </c>
      <c r="J189" s="7" t="n">
        <v>35.99</v>
      </c>
      <c r="K189" s="6" t="n"/>
      <c r="L189" s="6" t="n"/>
      <c r="M189" s="6" t="inlineStr">
        <is>
          <t>no</t>
        </is>
      </c>
      <c r="N189" s="6" t="n"/>
      <c r="O189" s="6" t="n"/>
      <c r="P189" s="6" t="inlineStr">
        <is>
          <t>ANIfit</t>
        </is>
      </c>
      <c r="Q189" s="13" t="n"/>
      <c r="R189" s="6" t="n"/>
      <c r="S189" s="6" t="n"/>
      <c r="T189" s="6" t="inlineStr">
        <is>
          <t>new</t>
        </is>
      </c>
      <c r="U189" s="6" t="inlineStr">
        <is>
          <t>no</t>
        </is>
      </c>
      <c r="V189" s="6" t="n"/>
      <c r="W189" s="6" t="n"/>
      <c r="X189" s="6" t="n"/>
      <c r="Y189" s="6" t="n"/>
      <c r="Z189" s="6" t="n"/>
      <c r="AA189" s="6" t="n"/>
      <c r="AB189" s="6" t="n"/>
      <c r="AC189" s="6" t="n"/>
      <c r="AD189" s="6" t="n"/>
      <c r="AE189" s="6" t="n"/>
      <c r="AF189" s="6" t="n"/>
      <c r="AG189" s="6" t="n"/>
      <c r="AH189" s="6" t="n"/>
      <c r="AI189" s="6" t="n"/>
      <c r="AJ189" s="6" t="n"/>
      <c r="AK189" s="6" t="n"/>
      <c r="AL189" s="3" t="n">
        <v>500</v>
      </c>
    </row>
    <row r="190">
      <c r="A190" s="3" t="n">
        <v>103889</v>
      </c>
      <c r="B190" s="14" t="inlineStr">
        <is>
          <t>RyCat Bio-Ente 400g - 6 Dosen   | Anifit Nassfutter für Katzen</t>
        </is>
      </c>
      <c r="C190" s="13" t="inlineStr">
        <is>
          <t>RyCat Bio-Ente ist die ideale Wahl für Katzen mit empfindlichem Magen oder Futtermittelunverträglichkeiten. Mit 99 % Fleischanteil aus biologischem Entenmuskelfleisch, -leber und -hals bietet dieses Nassfutter eine einzige, leicht verdauliche Proteinquelle.
Frei von Gluten und Getreide sorgt es für eine besonders sanfte Verdauung. Der Vitalpilz Reishi rundet das Menü ab und unterstützt mit seinen vitalisierenden Eigenschaften die Gesundheit Ihrer Katze.
Zubereitung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90" s="6" t="inlineStr">
        <is>
          <t>in_stock</t>
        </is>
      </c>
      <c r="E190" s="6" t="n"/>
      <c r="F190" s="6" t="n"/>
      <c r="G190" s="11" t="inlineStr">
        <is>
          <t>https://www.fellkost.de/content/partners/466587/shop/shop/article/103889/rycat_bio-ente_400g_6_stueck_?category=62197</t>
        </is>
      </c>
      <c r="H190" s="6" t="n"/>
      <c r="I190" s="13" t="inlineStr">
        <is>
          <t>https://www.fellkost.de/static/content/e18829/e18831/e18851/e18856/e87432/image_shop1/ger/Katze%20Nassfutter%20RyCat%20Bio%20Ente%20400%20g%201920%20x%201920_w480_h480_q90_jpg.jpg?checksum=384580cf3d12eba502ded5bf29c0d668b842dc03</t>
        </is>
      </c>
      <c r="J190" s="7" t="n">
        <v>32.49</v>
      </c>
      <c r="K190" s="6" t="n"/>
      <c r="L190" s="6" t="n"/>
      <c r="M190" s="6" t="inlineStr">
        <is>
          <t>no</t>
        </is>
      </c>
      <c r="N190" s="6" t="n"/>
      <c r="O190" s="6" t="n"/>
      <c r="P190" s="6" t="inlineStr">
        <is>
          <t>ANIfit</t>
        </is>
      </c>
      <c r="Q190" s="13" t="n"/>
      <c r="R190" s="6" t="n"/>
      <c r="S190" s="6" t="n"/>
      <c r="T190" s="6" t="inlineStr">
        <is>
          <t>new</t>
        </is>
      </c>
      <c r="U190" s="6" t="inlineStr">
        <is>
          <t>no</t>
        </is>
      </c>
      <c r="V190" s="6" t="n"/>
      <c r="W190" s="6" t="n"/>
      <c r="X190" s="6" t="n"/>
      <c r="Y190" s="6" t="n"/>
      <c r="Z190" s="6" t="n"/>
      <c r="AA190" s="6" t="n"/>
      <c r="AB190" s="6" t="n"/>
      <c r="AC190" s="6" t="n"/>
      <c r="AD190" s="6" t="n"/>
      <c r="AE190" s="6" t="n"/>
      <c r="AF190" s="6" t="n"/>
      <c r="AG190" s="6" t="n"/>
      <c r="AH190" s="6" t="n"/>
      <c r="AI190" s="6" t="n"/>
      <c r="AJ190" s="6" t="n"/>
      <c r="AK190" s="6" t="n"/>
      <c r="AL190" s="3" t="n">
        <v>500</v>
      </c>
    </row>
    <row r="191">
      <c r="A191" s="3" t="n">
        <v>42686</v>
      </c>
      <c r="B191" s="14" t="inlineStr">
        <is>
          <t>RyCat Bio-Ente 800g - 6 Dosen  | Anifit Nassfutter für Katzen</t>
        </is>
      </c>
      <c r="C191" s="13" t="inlineStr">
        <is>
          <t>RyCat Bio-Ente ist die ideale Wahl für Katzen mit empfindlichem Magen oder Futtermittelunverträglichkeiten. Mit 99 % Fleischanteil aus biologischem Entenmuskelfleisch, -leber und -hals bietet dieses Nassfutter eine einzige, leicht verdauliche Proteinquelle.
Frei von Gluten und Getreide sorgt es für eine besonders sanfte Verdauung. Der Vitalpilz Reishi rundet das Menü ab und unterstützt mit seinen vitalisierenden Eigenschaften die Gesundheit Ihrer Katze.
Zubereitung
Servierfertig, vorzugsweise zimmerwarm füttern.
Besonderheiten der RyAnimal Gerichte
vollwertige Frischfleischnahrung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t>
        </is>
      </c>
      <c r="D191" s="6" t="inlineStr">
        <is>
          <t>in_stock</t>
        </is>
      </c>
      <c r="E191" s="6" t="n"/>
      <c r="F191" s="6" t="n"/>
      <c r="G191" s="11" t="inlineStr">
        <is>
          <t>https://www.fellkost.de/content/partners/466587/shop/shop/article/42686/rycat_bio-ente_800g_6_stueck_</t>
        </is>
      </c>
      <c r="H191" s="6" t="n"/>
      <c r="I191" s="13" t="inlineStr">
        <is>
          <t>https://www.fellkost.de/static/content/e18829/e18831/e18851/e18856/e42610/image_shop1/ger/Katze%20Nassfutter%20RyCat%20Bio%20Ente%20800g%201920%20x%201920_w960_h960_q90_jpg.jpg?checksum=5615f1b1b831f11873ae93d3f8cadf478f9fa4f4</t>
        </is>
      </c>
      <c r="J191" s="7" t="n">
        <v>43.99</v>
      </c>
      <c r="K191" s="6" t="n"/>
      <c r="L191" s="6" t="n"/>
      <c r="M191" s="6" t="inlineStr">
        <is>
          <t>no</t>
        </is>
      </c>
      <c r="N191" s="6" t="n"/>
      <c r="O191" s="6" t="n"/>
      <c r="P191" s="6" t="inlineStr">
        <is>
          <t>ANIfit</t>
        </is>
      </c>
      <c r="Q191" s="13" t="n"/>
      <c r="R191" s="6" t="n"/>
      <c r="S191" s="6" t="n"/>
      <c r="T191" s="6" t="inlineStr">
        <is>
          <t>new</t>
        </is>
      </c>
      <c r="U191" s="6" t="inlineStr">
        <is>
          <t>no</t>
        </is>
      </c>
      <c r="V191" s="6" t="n"/>
      <c r="W191" s="6" t="n"/>
      <c r="X191" s="6" t="n"/>
      <c r="Y191" s="6" t="n"/>
      <c r="Z191" s="6" t="n"/>
      <c r="AA191" s="6" t="n"/>
      <c r="AB191" s="6" t="n"/>
      <c r="AC191" s="6" t="n"/>
      <c r="AD191" s="6" t="n"/>
      <c r="AE191" s="6" t="n"/>
      <c r="AF191" s="6" t="n"/>
      <c r="AG191" s="6" t="n"/>
      <c r="AH191" s="6" t="n"/>
      <c r="AI191" s="6" t="n"/>
      <c r="AJ191" s="6" t="n"/>
      <c r="AK191" s="6" t="n"/>
      <c r="AL191" s="3" t="n">
        <v>500</v>
      </c>
    </row>
    <row r="192">
      <c r="A192" s="3" t="n">
        <v>151763</v>
      </c>
      <c r="B192" s="14" t="inlineStr">
        <is>
          <t>Notration Délice de Coeur 150g  | Anifit Nassfutter für Katzen</t>
        </is>
      </c>
      <c r="C192" s="13" t="inlineStr">
        <is>
          <t>Entdecken Sie die gefriergetrocknete Variante unseres beliebten Gerichts Délice de Coeur. Eine clevere Lösung für all jene, die Wert auf erstklassige Qualität und absolute Flexibilität legen.
✔ Langzeit-Haltbarkeit: Bis zu 10 Jahre haltbar – ideal für den Notvorrat oder spontane Situationen.✔ Einfache Zubereitung: Mit Wasser angerührt, ist das Gericht in kurzer Zeit wieder genussbereit.✔ Qualität, die bleibt: Alle Nährstoffe, der volle Geschmack und die gewohnte Qualität bleiben durch die Gefriertrocknung optimal erhalten.
Ob Sie sich auf eine Reise begeben, für unvorhergesehene Situationen vorbereitet sein möchten oder einfach eine praktische und hochwertige Mahlzeit suchen – die Notration Délice de Coeur begleitet Ihre Katze köstlich in jeder Lebenslage.
Zubereitung
Zum Servieren mit warmen Wasser (270g Wasser auf 100g Produkt) vermischen und ein paar Minuten warten.
Besonderheiten der Anifit Gerichte
vollwertige Frischfleischnahrung mit 90-99 % Fleisch
ausschließliche Verwendung von Fleisch, das für die menschliche Ernährung zugelassen wurde
ausschließliche Verwendung von natürlichen Rohstoffen
schonende Zubereitung durch Kaltabfüllung
Heimlieferservice
frei von Zucker und sonstigen Geschmacksverstärkern
frei von Soja und Mais
frei von Konservierungsmitteln und Farbstoffen
frei von Lockstoffen und Füllstoffen
frei von Tiermehlen
frei von Pflanzen- und Getreidemehlen
keine Tierversuche
Haltbarkeit
Das Produkt ist vakuumiert und hat ein Mindesthaltbarkeitsdatum von 10 Jahren. Über eine derart langen Zeitraum kann der vollständige Erhalt aller Vitamine nicht garantiert werden, daher wird das Produkt nicht als Alleinfuttermittel gekennzeichnet. In den ersten beiden Jahren nach Produktion (also 8 Jahre vor Ablauf des Produktes) sollen die Vitamine noch im notwendigen Umfang für ein Alleinfuttermittel vorhanden sein.</t>
        </is>
      </c>
      <c r="D192" s="6" t="inlineStr">
        <is>
          <t>in_stock</t>
        </is>
      </c>
      <c r="E192" s="6" t="n"/>
      <c r="F192" s="6" t="n"/>
      <c r="G192" s="11" t="inlineStr">
        <is>
          <t>https://www.fellkost.de/content/partners/466587/shop/shop/article/151763/notration_d_lice_de_coeur_150g_1_stueck_?category=62197</t>
        </is>
      </c>
      <c r="H192" s="6" t="n"/>
      <c r="I192" s="13" t="inlineStr">
        <is>
          <t>https://www.fellkost.de/static/content/e18829/e18831/e18851/e18856/e100855/image_shop1/ger/Delice%20de%20Coeur%20Not-Ration-1_w480_h480_q90_png.png?checksum=d4a15ef83091a08836473c307696314f8a5eca41</t>
        </is>
      </c>
      <c r="J192" s="7" t="n">
        <v>11.5</v>
      </c>
      <c r="K192" s="6" t="n"/>
      <c r="L192" s="6" t="n"/>
      <c r="M192" s="6" t="inlineStr">
        <is>
          <t>no</t>
        </is>
      </c>
      <c r="N192" s="6" t="n"/>
      <c r="O192" s="6" t="n"/>
      <c r="P192" s="6" t="inlineStr">
        <is>
          <t>ANIfit</t>
        </is>
      </c>
      <c r="Q192" s="13" t="n"/>
      <c r="R192" s="6" t="n"/>
      <c r="S192" s="6" t="n"/>
      <c r="T192" s="6" t="inlineStr">
        <is>
          <t>new</t>
        </is>
      </c>
      <c r="U192" s="6" t="inlineStr">
        <is>
          <t>no</t>
        </is>
      </c>
      <c r="V192" s="6" t="n"/>
      <c r="W192" s="6" t="n"/>
      <c r="X192" s="6" t="n"/>
      <c r="Y192" s="6" t="n"/>
      <c r="Z192" s="6" t="n"/>
      <c r="AA192" s="6" t="n"/>
      <c r="AB192" s="6" t="n"/>
      <c r="AC192" s="6" t="n"/>
      <c r="AD192" s="6" t="n"/>
      <c r="AE192" s="6" t="n"/>
      <c r="AF192" s="6" t="n"/>
      <c r="AG192" s="6" t="n"/>
      <c r="AH192" s="6" t="n"/>
      <c r="AI192" s="6" t="n"/>
      <c r="AJ192" s="6" t="n"/>
      <c r="AK192" s="6" t="n"/>
      <c r="AL192" s="3" t="n">
        <v>500</v>
      </c>
    </row>
    <row r="193">
      <c r="A193" s="3" t="n">
        <v>27190</v>
      </c>
      <c r="B193" s="14" t="inlineStr">
        <is>
          <t>Amovit Katze  | Anifit Nassfutter für Katzen</t>
        </is>
      </c>
      <c r="C193" s="13" t="inlineStr">
        <is>
          <t>Barfer versuchen diesen Umstand durch eine sehr abwechslungsreiche Fütterung auszugleichen, können jedoch in keiner Weise nachvollziehen, ob die ausgewählte Nahrung tatsächlich alle notwendigen Nährstoffe enthält.
Mit AMOVIT präsentiert Anifit eine Neuheit, die für Barfer einmalig ist: eine Mischung aus Vitaminen und Mineralstoffen, die exakt auf eine Fleischfütterung abgestimmt ist.
Alle Bestandteile sind
Pflanzlichen,
frei von Konservierungsstoffen,
frei von anderen Zusätzen und
100 % NATÜRLICH</t>
        </is>
      </c>
      <c r="D193" s="6" t="inlineStr">
        <is>
          <t>in_stock</t>
        </is>
      </c>
      <c r="E193" s="6" t="n"/>
      <c r="F193" s="6" t="n"/>
      <c r="G193" s="11" t="inlineStr">
        <is>
          <t>https://www.fellkost.de/content/partners/466587/shop/shop/article/27190/amovit_katze_100g_1_stueck_</t>
        </is>
      </c>
      <c r="H193" s="6" t="n"/>
      <c r="I193" s="13" t="inlineStr">
        <is>
          <t>https://www.fellkost.de/static/content/e18829/e18831/e18851/e18901/e30495/image_shop1/ger/Katze%20Nahrungserg%C3%A4nzung%20Amovit%20Katze%20100%20g%20%201920%20x%201920_w480_h480_q90_jpg.jpg?checksum=43a0753557547134c75e880a907732be883a92dd</t>
        </is>
      </c>
      <c r="J193" s="7" t="n">
        <v>31</v>
      </c>
      <c r="K193" s="6" t="n"/>
      <c r="L193" s="6" t="n"/>
      <c r="M193" s="6" t="inlineStr">
        <is>
          <t>no</t>
        </is>
      </c>
      <c r="N193" s="6" t="n"/>
      <c r="O193" s="6" t="n"/>
      <c r="P193" s="6" t="inlineStr">
        <is>
          <t>ANIfit</t>
        </is>
      </c>
      <c r="Q193" s="13" t="n"/>
      <c r="R193" s="6" t="n"/>
      <c r="S193" s="6" t="n"/>
      <c r="T193" s="6" t="inlineStr">
        <is>
          <t>new</t>
        </is>
      </c>
      <c r="U193" s="6" t="inlineStr">
        <is>
          <t>no</t>
        </is>
      </c>
      <c r="V193" s="6" t="n"/>
      <c r="W193" s="6" t="n"/>
      <c r="X193" s="6" t="n"/>
      <c r="Y193" s="6" t="n"/>
      <c r="Z193" s="6" t="n"/>
      <c r="AA193" s="6" t="n"/>
      <c r="AB193" s="6" t="n"/>
      <c r="AC193" s="6" t="n"/>
      <c r="AD193" s="6" t="n"/>
      <c r="AE193" s="6" t="n"/>
      <c r="AF193" s="6" t="n"/>
      <c r="AG193" s="6" t="n"/>
      <c r="AH193" s="6" t="n"/>
      <c r="AI193" s="6" t="n"/>
      <c r="AJ193" s="6" t="n"/>
      <c r="AK193" s="6" t="n"/>
      <c r="AL193" s="3" t="n">
        <v>500</v>
      </c>
    </row>
    <row r="194">
      <c r="A194" s="3" t="n">
        <v>37832</v>
      </c>
      <c r="B194" s="14" t="inlineStr">
        <is>
          <t>Bento-KatzenStreu 7kg - Staubarm - Hohe Aufnahmekapazität (450 %)</t>
        </is>
      </c>
      <c r="C194" s="13" t="inlineStr">
        <is>
          <t>Feine, klumpende Katzenstreu aus Bentonit
450 % Saugkraft
Staubarm
Mit Lavendelduft
Sanft zu den Katzenpfoten
Sparsam im Verbrauch durch feste Klumpenbildung
Hohe Geruchsbindung dank der starken Saugfähigkeit
Die Streu klebt nicht an den Pfoten der Katze auf Grund eines speziellen Granulierungsverfahrens
Bentonit ist ein reines Naturprodukt und deshalb für die Katze völlig gefahrlos.
Anwendung
Die Klumpen mit einer Katzenstreuschaufel aus der Katzentoilette entfernen und im Restmüll entsorgen. Die Katzentoilette anschließend wieder mit Bento-Streu nachfüllen. Die Restentleerung der Katzentoilette darf in der Regel über die Biotonne erfolgen. Bitte beachten Sie die diesbezüglichen örtlichen Vorschriften.
Anifit Tipp
Möglichst jeder Katze eine eigene Toilette bereitstellen. Die Katzen gehen mit einer eigenen Toilette sorgsamer um, als wenn sie diese mit anderen Katzen teilen müssen.
Eingewöhnung
Sollte die Katze wider Erwarten die Einstreu nicht gleich akzeptieren, einfach etwas von der alten Streu daruntermischen und die Mischdosis von Tag zu Tag verringern.
Zusatzartikel
Mit der Anifit Katzenstreuschaufel können die Klumpen mühelos und ganz sauber entfernt und entsorgt werden.
Produktdaten
Beutel mit 7kg</t>
        </is>
      </c>
      <c r="D194" s="6" t="inlineStr">
        <is>
          <t>in_stock</t>
        </is>
      </c>
      <c r="E194" s="6" t="n"/>
      <c r="F194" s="6" t="n"/>
      <c r="G194" s="11" t="inlineStr">
        <is>
          <t>https://www.fellkost.de/content/partners/466587/shop/shop/article/37832/bento-streu_7kg_1_stueck_?category=62201</t>
        </is>
      </c>
      <c r="H194" s="6" t="n"/>
      <c r="I194" s="13" t="inlineStr">
        <is>
          <t>https://www.fellkost.de/static/content/e18829/e18831/e18851/e28916/e38862/image_shop1/ger/Bento-Streu_w480_h480_q90_jpg.jpg?checksum=17f45a9177b5991d8ef4b87158fc85d5d100d94a</t>
        </is>
      </c>
      <c r="J194" s="7" t="n">
        <v>7.99</v>
      </c>
      <c r="K194" s="6" t="n"/>
      <c r="L194" s="6" t="n"/>
      <c r="M194" s="6" t="inlineStr">
        <is>
          <t>no</t>
        </is>
      </c>
      <c r="N194" s="6" t="n"/>
      <c r="O194" s="6" t="n"/>
      <c r="P194" s="6" t="inlineStr">
        <is>
          <t>ANIfit</t>
        </is>
      </c>
      <c r="Q194" s="14" t="n"/>
      <c r="R194" s="6" t="n"/>
      <c r="S194" s="6" t="n"/>
      <c r="T194" s="6" t="inlineStr">
        <is>
          <t>new</t>
        </is>
      </c>
      <c r="U194" s="6" t="inlineStr">
        <is>
          <t>no</t>
        </is>
      </c>
      <c r="V194" s="6" t="n"/>
      <c r="W194" s="6" t="n"/>
      <c r="X194" s="6" t="n"/>
      <c r="Y194" s="6" t="n"/>
      <c r="Z194" s="6" t="n"/>
      <c r="AA194" s="6" t="n"/>
      <c r="AB194" s="6" t="n"/>
      <c r="AC194" s="6" t="n"/>
      <c r="AD194" s="6" t="n"/>
      <c r="AE194" s="6" t="n"/>
      <c r="AF194" s="6" t="n"/>
      <c r="AG194" s="6" t="n"/>
      <c r="AH194" s="6" t="n"/>
      <c r="AI194" s="6" t="n"/>
      <c r="AJ194" s="6" t="n"/>
      <c r="AK194" s="6" t="n"/>
      <c r="AL194" s="3" t="n">
        <v>500</v>
      </c>
    </row>
    <row r="195">
      <c r="A195" s="3" t="n">
        <v>11303</v>
      </c>
      <c r="B195" s="14" t="inlineStr">
        <is>
          <t>Pinienstreu 4kg Katzenstreu (naturbelassen)</t>
        </is>
      </c>
      <c r="C195" s="13" t="inlineStr">
        <is>
          <t>Bei Anifit‘s Pinienstreu werden zwei wichtige Anforderungen an die Katzenhygiene erfüllt:
a) Hygiene
Anifit’s Pinienstreu ist hoch effektiv und im Gebrauch daher sehr sparsam. Die Streu ist extrem geruchsbindend, es verbleiben für die Katze keine unangenehmen Gerüche.
Anifit`s Pinienstreu wird von den Katzen wegen seines natürlichen Holzgeruches hervorragend angenommen. Bei der Verwendung wird keine Staubbildung und kein „Kleben“ verursacht.
b) Ökologisches Produkt
Pinienstreu wird aus der Rinde von Pinienbäumen erzeugt und ist zu 100 % biologisch abbaubar bzw. auch zu 100 % kompostierbar. Das Produkt enthält keine chemischen Zusatzstoffe oder Aromen und wird ohne Presshilfsstoffe hergestellt.
100 % naturbelassenes Pinienholz
zu 100 % kompostierbar und zur Gänze biologisch abbaubar
Ohne Presshilfsstoffe hergestellt
Natürlicher Holzgeruch
Extrem hohe Saugfähigkeit
Keine Staubbildung und kein „Kleben“
Entsorgung in der Toilette möglich
Extrem geruchsbindend
Ohne chemischen Zusatzstoffe und Aromen
Sehr ergiebig - hoch effektiv
Klumpend
Anifit Tipp
Möglichst immer eine eigene Toilette pro Katze bereitstellen. Die Katzen gehen mit einer eigenen Toilette sorgsamer um, als wenn sie diese mit anderen Katzen teilen müssen.
Eingewöhnung
Sollte die Katze wider Erwarten die Einstreu nicht gleich akzeptieren, einfach etwas von der alten Streu daruntermischen und die Mischdosis von Tag zu Tag verringern.
Anwendung
Klumpen und feste Ausscheidungen täglich mit einer Spezialschaufel entfernen und über den Hausmüll oder die normale Haushaltstoilette entsorgen. Die Katzentoilette sollte ca. alle sechs Wochen komplett entleert und gereinigt werden.
Zusatzartikel
Mit der Anifit Katzenstreuschaufel können mühelos und ganz sauber die Klumpen entfernt und entsorgt werden.
Produktdaten
Beutel mit 4kgGroßpackung 10 Stück á 4 kg</t>
        </is>
      </c>
      <c r="D195" s="6" t="inlineStr">
        <is>
          <t>in_stock</t>
        </is>
      </c>
      <c r="E195" s="6" t="n"/>
      <c r="F195" s="6" t="n"/>
      <c r="G195" s="11" t="inlineStr">
        <is>
          <t>https://www.fellkost.de/content/partners/466587/shop/shop/article/11303/pinienstreu_4_kg_1_stueck_?category=62201</t>
        </is>
      </c>
      <c r="H195" s="6" t="n"/>
      <c r="I195" s="13" t="inlineStr">
        <is>
          <t>https://www.fellkost.de/static/content/e18829/e18831/e18851/e28916/e18923/image_shop1/ger/Pinienstreu%204kg_w480_h480_q90_jpg.jpg?checksum=85b9b45a53def97e682ce02e4a03f4759397326c</t>
        </is>
      </c>
      <c r="J195" s="7" t="n">
        <v>11.49</v>
      </c>
      <c r="K195" s="6" t="n"/>
      <c r="L195" s="6" t="n"/>
      <c r="M195" s="6" t="inlineStr">
        <is>
          <t>no</t>
        </is>
      </c>
      <c r="N195" s="6" t="n"/>
      <c r="O195" s="6" t="n"/>
      <c r="P195" s="6" t="inlineStr">
        <is>
          <t>ANIfit</t>
        </is>
      </c>
      <c r="Q195" s="14" t="n"/>
      <c r="R195" s="6" t="n"/>
      <c r="S195" s="6" t="n"/>
      <c r="T195" s="6" t="inlineStr">
        <is>
          <t>new</t>
        </is>
      </c>
      <c r="U195" s="6" t="inlineStr">
        <is>
          <t>no</t>
        </is>
      </c>
      <c r="V195" s="6" t="n"/>
      <c r="W195" s="6" t="n"/>
      <c r="X195" s="6" t="n"/>
      <c r="Y195" s="6" t="n"/>
      <c r="Z195" s="6" t="n"/>
      <c r="AA195" s="6" t="n"/>
      <c r="AB195" s="6" t="n"/>
      <c r="AC195" s="6" t="n"/>
      <c r="AD195" s="6" t="n"/>
      <c r="AE195" s="6" t="n"/>
      <c r="AF195" s="6" t="n"/>
      <c r="AG195" s="6" t="n"/>
      <c r="AH195" s="6" t="n"/>
      <c r="AI195" s="6" t="n"/>
      <c r="AJ195" s="6" t="n"/>
      <c r="AK195" s="6" t="n"/>
      <c r="AL195" s="3" t="n">
        <v>500</v>
      </c>
    </row>
    <row r="196">
      <c r="A196" s="3" t="n">
        <v>25718</v>
      </c>
      <c r="B196" s="14" t="inlineStr">
        <is>
          <t>Pinienstreu 40kg Katzenstreu (naturbelassen)</t>
        </is>
      </c>
      <c r="C196" s="13" t="inlineStr">
        <is>
          <t>Bei Anifit‘s Pinienstreu werden zwei wichtige Anforderungen an die Katzenhygiene erfüllt:
a) Hygiene
Anifit’s Pinienstreu ist hoch effektiv und im Gebrauch daher sehr sparsam. Die Streu ist extrem geruchsbindend, es verbleiben für die Katze keine unangenehmen Gerüche.
Anifit`s Pinienstreu wird von den Katzen wegen seines natürlichen Holzgeruches hervorragend angenommen. Bei der Verwendung wird keine Staubbildung und kein „Kleben“ verursacht.
b) Ökologisches Produkt
Pinienstreu wird aus der Rinde von Pinienbäumen erzeugt und ist zu 100 % biologisch abbaubar bzw. auch zu 100 % kompostierbar. Das Produkt enthält keine chemischen Zusatzstoffe oder Aromen und wird ohne Presshilfsstoffe hergestellt.
100 % naturbelassenes Pinienholz
zu 100 % kompostierbar und zur Gänze biologisch abbaubar
Ohne Presshilfsstoffe hergestellt
Natürlicher Holzgeruch
Extrem hohe Saugfähigkeit
Keine Staubbildung und kein „Kleben“
Entsorgung in der Toilette möglich
Extrem geruchsbindend
Ohne chemischen Zusatzstoffe und Aromen
Sehr ergiebig - hoch effektiv
Klumpend
Anifit Tipp
Möglichst immer eine eigene Toilette pro Katze bereitstellen. Die Katzen gehen mit einer eigenen Toilette sorgsamer um, als wenn sie diese mit anderen Katzen teilen müssen.
Eingewöhnung
Sollte die Katze wider Erwarten die Einstreu nicht gleich akzeptieren, einfach etwas von der alten Streu daruntermischen und die Mischdosis von Tag zu Tag verringern.
Anwendung
Klumpen und feste Ausscheidungen täglich mit einer Spezialschaufel entfernen und über den Hausmüll oder die normale Haushaltstoilette entsorgen. Die Katzentoilette sollte ca. alle sechs Wochen komplett entleert und gereinigt werden.
Zusatzartikel
Mit der Anifit Katzenstreuschaufel können mühelos und ganz sauber die Klumpen entfernt und entsorgt werden.
Produktdaten
Beutel mit 4kgGroßpackung 10 Stück á 4 kg</t>
        </is>
      </c>
      <c r="D196" s="6" t="inlineStr">
        <is>
          <t>in_stock</t>
        </is>
      </c>
      <c r="E196" s="6" t="n"/>
      <c r="F196" s="6" t="n"/>
      <c r="G196" s="11" t="inlineStr">
        <is>
          <t>https://www.fellkost.de/content/partners/466587/shop/shop/article/25718/pinienstreu_40_kg_1_stueck_</t>
        </is>
      </c>
      <c r="H196" s="6" t="n"/>
      <c r="I196" s="13" t="inlineStr">
        <is>
          <t>https://www.fellkost.de/static/content/e18829/e18831/e18851/e28916/e29399/image_shop1/ger/Pinienstreu%204kg_w480_h480_q90_jpg.jpg?checksum=85b9b45a53def97e682ce02e4a03f4759397326c</t>
        </is>
      </c>
      <c r="J196" s="7" t="n">
        <v>92.81999999999999</v>
      </c>
      <c r="K196" s="6" t="n"/>
      <c r="L196" s="6" t="n"/>
      <c r="M196" s="6" t="inlineStr">
        <is>
          <t>no</t>
        </is>
      </c>
      <c r="N196" s="6" t="n"/>
      <c r="O196" s="6" t="n"/>
      <c r="P196" s="6" t="inlineStr">
        <is>
          <t>ANIfit</t>
        </is>
      </c>
      <c r="Q196" s="14" t="n"/>
      <c r="R196" s="6" t="n"/>
      <c r="S196" s="6" t="n"/>
      <c r="T196" s="6" t="inlineStr">
        <is>
          <t>new</t>
        </is>
      </c>
      <c r="U196" s="6" t="inlineStr">
        <is>
          <t>no</t>
        </is>
      </c>
      <c r="V196" s="6" t="n"/>
      <c r="W196" s="6" t="n"/>
      <c r="X196" s="6" t="n"/>
      <c r="Y196" s="6" t="n"/>
      <c r="Z196" s="6" t="n"/>
      <c r="AA196" s="6" t="n"/>
      <c r="AB196" s="6" t="n"/>
      <c r="AC196" s="6" t="n"/>
      <c r="AD196" s="6" t="n"/>
      <c r="AE196" s="6" t="n"/>
      <c r="AF196" s="6" t="n"/>
      <c r="AG196" s="6" t="n"/>
      <c r="AH196" s="6" t="n"/>
      <c r="AI196" s="6" t="n"/>
      <c r="AJ196" s="6" t="n"/>
      <c r="AK196" s="6" t="n"/>
      <c r="AL196" s="3" t="n">
        <v>500</v>
      </c>
    </row>
    <row r="197">
      <c r="A197" s="3" t="n">
        <v>25139</v>
      </c>
      <c r="B197" s="13" t="inlineStr">
        <is>
          <t>Pro Katzenspielkissen</t>
        </is>
      </c>
      <c r="C197" s="13" t="inlineStr">
        <is>
          <t>Dieses Spielkissen wird Ihre Katze lieben! Die Spielkissen sind handgefertigt, mit attraktiven Stickereien gestaltet und mit Dinkelspelz, Baldrianwurzel und Katzenminze gefüllt.
Der Duft von Baldrian zieht Katzen bekanntlich magisch an und sorgt für absolute Entspannung bei Ihrem Haustiger.
Anifit Tipp
Wir empfehlen, die Spielkissen den Katzen immer nur stundenweise (ca. 2-4 h) zu geben. Danach in die Folie zurückgeben und erst ein paar Tage später wieder verwenden. So hat Ihre Katze immer wieder eine große Freude mit den duftenden Kissen.
Produktdaten
Kissen: 15x15x3,5 cm</t>
        </is>
      </c>
      <c r="D197" s="6" t="inlineStr">
        <is>
          <t>in_stock</t>
        </is>
      </c>
      <c r="E197" s="6" t="n"/>
      <c r="F197" s="6" t="n"/>
      <c r="G197" s="11" t="inlineStr">
        <is>
          <t>https://www.fellkost.de/content/partners/466587/shop/shop/article/25139/pro_katzenspielkissen_1_stueck_?category=62201</t>
        </is>
      </c>
      <c r="H197" s="6" t="n"/>
      <c r="I197" s="13" t="inlineStr">
        <is>
          <t>https://www.fellkost.de/static/content/e18829/e18831/e18851/e28916/e28922/image_shop1/ger/Katzenkissen-1_w480_h480_q90_jpg.jpg?checksum=dbebf681fc08fa6e39bf68c3a8d0bc1c94e146bd</t>
        </is>
      </c>
      <c r="J197" s="7" t="n">
        <v>8.5</v>
      </c>
      <c r="K197" s="6" t="n"/>
      <c r="L197" s="6" t="n"/>
      <c r="M197" s="6" t="inlineStr">
        <is>
          <t>no</t>
        </is>
      </c>
      <c r="N197" s="6" t="n"/>
      <c r="O197" s="6" t="n"/>
      <c r="P197" s="6" t="inlineStr">
        <is>
          <t>ANIfit</t>
        </is>
      </c>
      <c r="Q197" s="13" t="n"/>
      <c r="R197" s="6" t="n"/>
      <c r="S197" s="6" t="n"/>
      <c r="T197" s="6" t="inlineStr">
        <is>
          <t>new</t>
        </is>
      </c>
      <c r="U197" s="6" t="inlineStr">
        <is>
          <t>no</t>
        </is>
      </c>
      <c r="V197" s="6" t="n"/>
      <c r="W197" s="6" t="n"/>
      <c r="X197" s="6" t="n"/>
      <c r="Y197" s="6" t="n"/>
      <c r="Z197" s="6" t="n"/>
      <c r="AA197" s="6" t="n"/>
      <c r="AB197" s="6" t="n"/>
      <c r="AC197" s="6" t="n"/>
      <c r="AD197" s="6" t="n"/>
      <c r="AE197" s="6" t="n"/>
      <c r="AF197" s="6" t="n"/>
      <c r="AG197" s="6" t="n"/>
      <c r="AH197" s="6" t="n"/>
      <c r="AI197" s="6" t="n"/>
      <c r="AJ197" s="6" t="n"/>
      <c r="AK197" s="6" t="n"/>
      <c r="AL197" s="3" t="n">
        <v>500</v>
      </c>
    </row>
    <row r="198">
      <c r="A198" s="3" t="n">
        <v>423343</v>
      </c>
      <c r="B198" s="6" t="inlineStr">
        <is>
          <t>BIO Gans Im Glück - 6 Dosen a 200g - Hundefutter getreidefrei mit Gans</t>
        </is>
      </c>
      <c r="C198" s="6" t="inlineStr">
        <is>
          <t>Mit der exquisiten Komposition aus zartem Gänsemuskelfleisch, nährstoffreicher Gänseleber und fein geschnittenem Gänsehals füttern Sie ein besonders hochwertiges Nassfutter für Hunde mit Geschmack.
Die verwendete Bio-Gans stammt aus kontrolliert ökologischer Erzeugung. Ergänzt wird das Gericht durch ausgewählte Superfoods wie Fenchel, Amaranth, Mango und Kokosflocken. Eine besondere Rezeptur, hergestellt in Bayern, die für mehr Vitalität und Wohlbefinden sorgen kann.
Auch für Hunde mit sensiblen Mägen: Mit Bio-Gans als einziger Fleischquelle (Monoprotein) minimieren das Risiko von Unverträglichkeiten.
Dank der weicheren Konsistenz genießen auch ältere Hunde oder Tiere mit Zahnproblemen Bio Gans im Glück mühelos.</t>
        </is>
      </c>
      <c r="D198" s="6" t="inlineStr">
        <is>
          <t>in_stock</t>
        </is>
      </c>
      <c r="E198" s="6" t="n"/>
      <c r="F198" s="6" t="n"/>
      <c r="G198" s="8" t="inlineStr">
        <is>
          <t>https://www.fellkost.de/content/partners/466587/shop/shop/article/423343/bio_gans_im_glueck_200g_6_stueck_?category=62183</t>
        </is>
      </c>
      <c r="H198" s="6" t="n"/>
      <c r="I198" s="6" t="inlineStr">
        <is>
          <t>https://www.fellkost.de/static/content/e18829/e18831/e18851/e18852/e228497/image_shop1/ger/Hunde%20Nassfutter%20Gans%20im%20Gl%C3%BCck%20200%20g%201920%20x%201920_w480_h480_q90_jpg.jpg</t>
        </is>
      </c>
      <c r="J198" s="7" t="n">
        <v>24.49</v>
      </c>
      <c r="K198" s="6" t="n"/>
      <c r="L198" s="6" t="n"/>
      <c r="M198" s="6" t="inlineStr">
        <is>
          <t>no</t>
        </is>
      </c>
      <c r="N198" s="6" t="n"/>
      <c r="O198" s="6" t="n"/>
      <c r="P198" s="6" t="inlineStr">
        <is>
          <t>ANIfit</t>
        </is>
      </c>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row>
    <row r="199">
      <c r="A199" s="3" t="n">
        <v>423439</v>
      </c>
      <c r="B199" s="6" t="inlineStr">
        <is>
          <t>BIO Gans Im Glück - 6 Dosen a 400g  - Hundefutter getreidefrei mit Gans</t>
        </is>
      </c>
      <c r="C199" s="6" t="inlineStr">
        <is>
          <t>Mit der exquisiten Komposition aus zartem Gänsemuskelfleisch, nährstoffreicher Gänseleber und fein geschnittenem Gänsehals füttern Sie ein besonders hochwertiges Nassfutter für Hunde mit Geschmack.
Die verwendete Bio-Gans stammt aus kontrolliert ökologischer Erzeugung. Ergänzt wird das Gericht durch ausgewählte Superfoods wie Fenchel, Amaranth, Mango und Kokosflocken. Eine besondere Rezeptur, hergestellt in Bayern, die für mehr Vitalität und Wohlbefinden sorgen kann.
Auch für Hunde mit sensiblen Mägen: Mit Bio-Gans als einziger Fleischquelle (Monoprotein) minimieren das Risiko von Unverträglichkeiten.
Dank der weicheren Konsistenz genießen auch ältere Hunde oder Tiere mit Zahnproblemen Bio Gans im Glück mühelos.</t>
        </is>
      </c>
      <c r="D199" s="6" t="inlineStr">
        <is>
          <t>in_stock</t>
        </is>
      </c>
      <c r="E199" s="6" t="n"/>
      <c r="F199" s="6" t="n"/>
      <c r="G199" s="8" t="inlineStr">
        <is>
          <t>https://www.fellkost.de/content/partners/466587/shop/shop/article/423439/bio_gans_im_glueck_400g_6_stueck_?category=62183</t>
        </is>
      </c>
      <c r="H199" s="6" t="n"/>
      <c r="I199" s="16" t="inlineStr">
        <is>
          <t>https://www.fellkost.de/static/content/e18829/e18831/e18851/e18852/e228498/image_shop1/ger/Hunde%20Nassfutter%20Gans%20im%20Gl%C3%BCck%20400%20g%201920%20x%201920_w960_h960_q90_jpg.jpg</t>
        </is>
      </c>
      <c r="J199" s="7" t="n">
        <v>32.49</v>
      </c>
      <c r="K199" s="6" t="n"/>
      <c r="L199" s="6" t="n"/>
      <c r="M199" s="6" t="inlineStr">
        <is>
          <t>no</t>
        </is>
      </c>
      <c r="N199" s="6" t="n"/>
      <c r="O199" s="6" t="n"/>
      <c r="P199" s="6" t="inlineStr">
        <is>
          <t>ANIfit</t>
        </is>
      </c>
      <c r="Q199" s="6" t="n"/>
      <c r="R199" s="6" t="n"/>
      <c r="S199" s="6" t="n"/>
      <c r="T199" s="6" t="inlineStr">
        <is>
          <t>new</t>
        </is>
      </c>
      <c r="U199" s="6" t="inlineStr">
        <is>
          <t>no</t>
        </is>
      </c>
      <c r="V199" s="6" t="n"/>
      <c r="W199" s="6" t="n"/>
      <c r="X199" s="6" t="n"/>
      <c r="Y199" s="6" t="n"/>
      <c r="Z199" s="6" t="n"/>
      <c r="AA199" s="6" t="n"/>
      <c r="AB199" s="6" t="n"/>
      <c r="AC199" s="6" t="n"/>
      <c r="AD199" s="6" t="n"/>
      <c r="AE199" s="6" t="n"/>
      <c r="AF199" s="6" t="n"/>
      <c r="AG199" s="6" t="n"/>
      <c r="AH199" s="6" t="n"/>
      <c r="AI199" s="6" t="n"/>
      <c r="AJ199" s="6" t="n"/>
      <c r="AK199" s="6" t="n"/>
      <c r="AL199" s="3" t="n">
        <v>500</v>
      </c>
    </row>
    <row r="200">
      <c r="A200" s="3" t="n">
        <v>423521</v>
      </c>
      <c r="B200" s="6" t="inlineStr">
        <is>
          <t>BIO Gans Im Glück - 6 Dosen a 810g  - Hundefutter getreidefrei mit Gans</t>
        </is>
      </c>
      <c r="C200" s="6" t="inlineStr">
        <is>
          <t>Mit der exquisiten Komposition aus zartem Gänsemuskelfleisch, nährstoffreicher Gänseleber und fein geschnittenem Gänsehals füttern Sie ein besonders hochwertiges Nassfutter für Hunde mit Geschmack.
Die verwendete Bio-Gans stammt aus kontrolliert ökologischer Erzeugung. Ergänzt wird das Gericht durch ausgewählte Superfoods wie Fenchel, Amaranth, Mango und Kokosflocken. Eine besondere Rezeptur, hergestellt in Bayern, die für mehr Vitalität und Wohlbefinden sorgen kann.
Auch für Hunde mit sensiblen Mägen: Mit Bio-Gans als einziger Fleischquelle (Monoprotein) minimieren das Risiko von Unverträglichkeiten.
Dank der weicheren Konsistenz genießen auch ältere Hunde oder Tiere mit Zahnproblemen Bio Gans im Glück mühelos.</t>
        </is>
      </c>
      <c r="D200" s="6" t="inlineStr">
        <is>
          <t>in_stock</t>
        </is>
      </c>
      <c r="E200" s="6" t="n"/>
      <c r="F200" s="6" t="n"/>
      <c r="G200" s="8" t="inlineStr">
        <is>
          <t>https://www.fellkost.de/content/partners/466587/shop/shop/article/423521/bio_gans_im_glueck_800g_6_stueck_</t>
        </is>
      </c>
      <c r="H200" s="6" t="n"/>
      <c r="I200" s="6" t="inlineStr">
        <is>
          <t>https://www.fellkost.de/static/content/e18829/e18831/e18851/e18852/e228499/image_shop1/ger/Hunde%20Nassfutter%20Gans%20im%20Gl%C3%BCck%20810%20g%201920%20x%201920_w960_h960_q90_jpg.jpg?checksum=354db29ab22d0f23c731737f5dedeaa88bf00008</t>
        </is>
      </c>
      <c r="J200" s="7" t="n">
        <v>45.99</v>
      </c>
      <c r="K200" s="6" t="n"/>
      <c r="L200" s="6" t="n"/>
      <c r="M200" s="6" t="inlineStr">
        <is>
          <t>no</t>
        </is>
      </c>
      <c r="N200" s="6" t="n"/>
      <c r="O200" s="6" t="n"/>
      <c r="P200" s="6" t="inlineStr">
        <is>
          <t>ANIfit</t>
        </is>
      </c>
      <c r="Q200" s="6" t="n"/>
      <c r="R200" s="6" t="n"/>
      <c r="S200" s="6" t="n"/>
      <c r="T200" s="6" t="inlineStr">
        <is>
          <t>new</t>
        </is>
      </c>
      <c r="U200" s="6" t="inlineStr">
        <is>
          <t>no</t>
        </is>
      </c>
      <c r="V200" s="6" t="n"/>
      <c r="W200" s="6" t="n"/>
      <c r="X200" s="6" t="n"/>
      <c r="Y200" s="6" t="n"/>
      <c r="Z200" s="6" t="n"/>
      <c r="AA200" s="6" t="n"/>
      <c r="AB200" s="6" t="n"/>
      <c r="AC200" s="6" t="n"/>
      <c r="AD200" s="6" t="n"/>
      <c r="AE200" s="6" t="n"/>
      <c r="AF200" s="6" t="n"/>
      <c r="AG200" s="6" t="n"/>
      <c r="AH200" s="6" t="n"/>
      <c r="AI200" s="6" t="n"/>
      <c r="AJ200" s="6" t="n"/>
      <c r="AK200" s="6" t="n"/>
      <c r="AL200" s="3" t="n">
        <v>500</v>
      </c>
    </row>
    <row r="201">
      <c r="A201" s="3" t="n">
        <v>429943</v>
      </c>
      <c r="B201" s="6" t="inlineStr">
        <is>
          <t>ANifit MIX-Paket 12 x 85Gr (Truthan/Lamm/Lachs/Hase) in Pouches (Frischebeutel)</t>
        </is>
      </c>
      <c r="C201" s="6" t="inlineStr">
        <is>
          <t>Die Kombination aus zarten Fleischstücken und aromatischer Sauce trifft den Geschmack anspruchsvoller Samtpfoten. Und bietet gleichzeitig eine ausgewogene, artgerechte Ernährung mit hochwertigen Inhaltsstoffen.
Jede Portion ist ein vollwertiges Alleinfuttermittel mit einem besonders hohen Anteil an Fleisch und tierischen Proteinen. Ergänzt durch wertvolle pflanzliche Komponenten.
Dank des praktischen Pouch-Formats mit 85 Gramm sind die Mahlzeiten besonders einfach in der Handhabung.
LieblingsLamm: sanft und bekömmlich, ideal für sensible Katzen
TruthahnTango: mager, leicht &amp; proteinreich, für vitale Samtpfoten
HimmlischerHase: abwechslungsreiche Proteinquelle für Feinschmecker
LachsLiebe: reich an Omega-3, unterstützt Fell, Haut &amp; Wohlbefinden</t>
        </is>
      </c>
      <c r="D201" s="6" t="inlineStr">
        <is>
          <t>in_stock</t>
        </is>
      </c>
      <c r="E201" s="6" t="n"/>
      <c r="F201" s="6" t="n"/>
      <c r="G201" s="8" t="inlineStr">
        <is>
          <t>https://www.fellkost.de/content/partners/466587/shop/shop/article/429943/mix-paket_12_x_85gr_12_x_85g_1_karton_mit_4_sorten_</t>
        </is>
      </c>
      <c r="H201" s="6" t="n"/>
      <c r="I201" s="6" t="inlineStr">
        <is>
          <t>https://www.fellkost.de/static/content/e18829/e18831/e18851/e18856/e231280/image_shop1/ger/Katze%20Nassfutter%20Pouch%20Mixkarton%2085gr%201920%20x%201920_w480_h480_q90_jpg.jpg?checksum=b22b38a7ee13c4ab38410eb52198f12f595a9a4d</t>
        </is>
      </c>
      <c r="J201" s="7" t="n">
        <v>17.99</v>
      </c>
      <c r="K201" s="6" t="n"/>
      <c r="L201" s="6" t="n"/>
      <c r="M201" s="6" t="inlineStr">
        <is>
          <t>no</t>
        </is>
      </c>
      <c r="N201" s="6" t="n"/>
      <c r="O201" s="6" t="n"/>
      <c r="P201" s="6" t="inlineStr">
        <is>
          <t>ANIfit</t>
        </is>
      </c>
      <c r="Q201" s="6" t="n"/>
      <c r="R201" s="6" t="n"/>
      <c r="S201" s="6" t="n"/>
      <c r="T201" s="6" t="inlineStr">
        <is>
          <t>new</t>
        </is>
      </c>
      <c r="U201" s="6" t="inlineStr">
        <is>
          <t>no</t>
        </is>
      </c>
      <c r="V201" s="6" t="n"/>
      <c r="W201" s="6" t="n"/>
      <c r="X201" s="6" t="n"/>
      <c r="Y201" s="6" t="n"/>
      <c r="Z201" s="6" t="n"/>
      <c r="AA201" s="6" t="n"/>
      <c r="AB201" s="6" t="n"/>
      <c r="AC201" s="6" t="n"/>
      <c r="AD201" s="6" t="n"/>
      <c r="AE201" s="6" t="n"/>
      <c r="AF201" s="6" t="n"/>
      <c r="AG201" s="6" t="n"/>
      <c r="AH201" s="6" t="n"/>
      <c r="AI201" s="6" t="n"/>
      <c r="AJ201" s="6" t="n"/>
      <c r="AK201" s="6" t="n"/>
      <c r="AL201" s="3" t="n">
        <v>500</v>
      </c>
    </row>
    <row r="202">
      <c r="A202" s="3" t="n">
        <v>429559</v>
      </c>
      <c r="B202" s="6" t="inlineStr">
        <is>
          <t>12x LieblingsLamm Pouches (85gr.) ANIfit Qualität im Frischebeutel</t>
        </is>
      </c>
      <c r="C202" s="6" t="inlineStr">
        <is>
          <t>In praktischer Pouch-Verpackung (Portionsbeutel mit 85 Gramm) als fertige Ration mit zarten Fleischstückchen und schmackhafter Sauce bietet dieses Menü eine genussvolle Abwechslung im Futternapf.
Die durchdachte Zusammensetzung aus Lamm und Huhn macht LieblingsLamm zur idealen Wahl für Katzen mit feinem Gaumen – ganz ohne Kompromisse bei Qualität und Natürlichkeit.
Vielseitig einsetzbar:
LieblingsLamm ist ein vollwertiges Alleinfuttermittel, das alle lebenswichtigen Nährstoffe, Vitamine und Mineralien liefert. Es kann als Hauptmahlzeit, als Topping zur Akzeptanzverstärkung bei Trocken- oder Nassfutter oder auch als leckere Zwischenmahlzeit (Snack) verwendet werden. Ganz nach den Bedürfnissen deiner Katze.</t>
        </is>
      </c>
      <c r="D202" s="6" t="inlineStr">
        <is>
          <t>in_stock</t>
        </is>
      </c>
      <c r="E202" s="6" t="n"/>
      <c r="F202" s="6" t="n"/>
      <c r="G202" s="8" t="inlineStr">
        <is>
          <t>https://www.fellkost.de/content/partners/466587/shop/shop/article/429559/lieblingslamm_85g_12_stueck_</t>
        </is>
      </c>
      <c r="H202" s="6" t="n"/>
      <c r="I202" s="6" t="inlineStr">
        <is>
          <t>https://www.fellkost.de/static/content/e18829/e18831/e18851/e18856/e231238/image_shop1/ger/Katze%20Nassfutter%20Pouch%20LieblingsLamm%2085gr%201920%20x%201920_w960_h960_q90_jpg.jpg?checksum=7ae97ff4c3df282d34497b10708a1136abebaff5</t>
        </is>
      </c>
      <c r="J202" s="7" t="n">
        <v>17.99</v>
      </c>
      <c r="K202" s="6" t="n"/>
      <c r="L202" s="6" t="n"/>
      <c r="M202" s="6" t="inlineStr">
        <is>
          <t>no</t>
        </is>
      </c>
      <c r="N202" s="6" t="n"/>
      <c r="O202" s="6" t="n"/>
      <c r="P202" s="6" t="inlineStr">
        <is>
          <t>ANIfit</t>
        </is>
      </c>
      <c r="Q202" s="6" t="n"/>
      <c r="R202" s="6" t="n"/>
      <c r="S202" s="6" t="n"/>
      <c r="T202" s="6" t="inlineStr">
        <is>
          <t>new</t>
        </is>
      </c>
      <c r="U202" s="6" t="inlineStr">
        <is>
          <t>no</t>
        </is>
      </c>
      <c r="V202" s="6" t="n"/>
      <c r="W202" s="6" t="n"/>
      <c r="X202" s="6" t="n"/>
      <c r="Y202" s="6" t="n"/>
      <c r="Z202" s="6" t="n"/>
      <c r="AA202" s="6" t="n"/>
      <c r="AB202" s="6" t="n"/>
      <c r="AC202" s="6" t="n"/>
      <c r="AD202" s="6" t="n"/>
      <c r="AE202" s="6" t="n"/>
      <c r="AF202" s="6" t="n"/>
      <c r="AG202" s="6" t="n"/>
      <c r="AH202" s="6" t="n"/>
      <c r="AI202" s="6" t="n"/>
      <c r="AJ202" s="6" t="n"/>
      <c r="AK202" s="6" t="n"/>
      <c r="AL202" s="3" t="n">
        <v>500</v>
      </c>
    </row>
    <row r="203">
      <c r="A203" s="3" t="n">
        <v>429239</v>
      </c>
      <c r="B203" s="6" t="inlineStr">
        <is>
          <t>12x Truthahn Tango Pouches (85gr.) ANIfit Qualität im Frischebeutel</t>
        </is>
      </c>
      <c r="C203" s="6" t="inlineStr">
        <is>
          <t>Mit zartem Truthahnmuskelfleisch, nährstoffreicher Leber und Lunge sowie erlesenen Früchten und Kräutern füttern Sie ein Menü, das Leichtigkeit und Vitalität verbindet.
Mit fettarme Truthahnfleisch und Rind wird ergänzt durch Blaubeeren, Flohsamenschalen und wertvolle Kräuter. Truthahn Tango bietet so eine perfekte Balance aus Nährstoffvielfalt und bekömmlicher Energieversorgung.
Ob als vollwertige Hauptmahlzeit, als appetitanregendes Topping oder als Snack für zwischendurch – Truthahn Tango bietet maximale Flexibilität bei gleichzeitig optimaler Nährstoffversorgung.
Die praktische Frischebeutel-Verpackung (Pouch) enthält eine servierfertige Portion mit 85 Gramm.
Ein weiterer Vorteil: Die feine Sauce fördert die Feuchtigkeitsaufnahme, was gerade bei Katzen, die von Natur aus oft zu wenig trinken, besonders wichtig ist.</t>
        </is>
      </c>
      <c r="D203" s="6" t="inlineStr">
        <is>
          <t>in_stock</t>
        </is>
      </c>
      <c r="E203" s="6" t="n"/>
      <c r="F203" s="6" t="n"/>
      <c r="G203" s="8" t="inlineStr">
        <is>
          <t>https://www.fellkost.de/content/partners/466587/shop/shop/article/429239/truthahn_tango_85g_12_stueck_</t>
        </is>
      </c>
      <c r="H203" s="6" t="n"/>
      <c r="I203" s="6" t="inlineStr">
        <is>
          <t>https://www.fellkost.de/static/content/e18829/e18831/e18851/e18856/e231234/image_shop1/ger/Katze%20Nassfutter%20Pouch%20Truthahn%20Tango%2085gr%201920%20x%201920_w480_h480_q90_jpg.jpg?checksum=612d1a34b3468faa044cd726cbc8bdba542c5d01</t>
        </is>
      </c>
      <c r="J203" s="7" t="n">
        <v>17.99</v>
      </c>
      <c r="K203" s="6" t="n"/>
      <c r="L203" s="6" t="n"/>
      <c r="M203" s="6" t="inlineStr">
        <is>
          <t>no</t>
        </is>
      </c>
      <c r="N203" s="6" t="n"/>
      <c r="O203" s="6" t="n"/>
      <c r="P203" s="6" t="inlineStr">
        <is>
          <t>ANIfit</t>
        </is>
      </c>
      <c r="Q203" s="6" t="n"/>
      <c r="R203" s="6" t="n"/>
      <c r="S203" s="6" t="n"/>
      <c r="T203" s="6" t="inlineStr">
        <is>
          <t>new</t>
        </is>
      </c>
      <c r="U203" s="6" t="inlineStr">
        <is>
          <t>no</t>
        </is>
      </c>
      <c r="V203" s="6" t="n"/>
      <c r="W203" s="6" t="n"/>
      <c r="X203" s="6" t="n"/>
      <c r="Y203" s="6" t="n"/>
      <c r="Z203" s="6" t="n"/>
      <c r="AA203" s="6" t="n"/>
      <c r="AB203" s="6" t="n"/>
      <c r="AC203" s="6" t="n"/>
      <c r="AD203" s="6" t="n"/>
      <c r="AE203" s="6" t="n"/>
      <c r="AF203" s="6" t="n"/>
      <c r="AG203" s="6" t="n"/>
      <c r="AH203" s="6" t="n"/>
      <c r="AI203" s="6" t="n"/>
      <c r="AJ203" s="6" t="n"/>
      <c r="AK203" s="6" t="n"/>
      <c r="AL203" s="3" t="n">
        <v>500</v>
      </c>
    </row>
    <row r="204">
      <c r="A204" s="3" t="n">
        <v>429639</v>
      </c>
      <c r="B204" s="6" t="inlineStr">
        <is>
          <t>12x LachsLiebe Pouches (85gr.) ANIfit Qualität im Frischebeutel</t>
        </is>
      </c>
      <c r="C204" s="6" t="inlineStr">
        <is>
          <t>Saftiger Lachs trifft auf zartes Hühnchen. „LachsLiebe“ ist das ideale Menü für Katzen, die ausgewogene Ernährung und vollen Geschmack lieben.
Mit 94 % Fisch- und Fleischanteil liefert dieses Nassfutter besonders hochwertige Proteine, wertvolle Omega-3-Fettsäuren und lebenswichtige Nährstoffe.
Dank seiner feinen Fleischstücke in schmackhafter Sauce fördert „LachsLiebe“ auf natürliche Weise die Feuchtigkeitsaufnahme der Katze.
Die praktische Pouch-Verpackung enthält eine vollständige, servierfertige Ration, die sich auch ideal als Topping oder Snack eignet.</t>
        </is>
      </c>
      <c r="D204" s="6" t="inlineStr">
        <is>
          <t>in_stock</t>
        </is>
      </c>
      <c r="E204" s="6" t="n"/>
      <c r="F204" s="6" t="n"/>
      <c r="G204" s="8" t="inlineStr">
        <is>
          <t>https://www.fellkost.de/content/partners/466587/shop/shop/article/429639/lachsliebe_85g_12_stueck_</t>
        </is>
      </c>
      <c r="H204" s="6" t="n"/>
      <c r="I204" s="6" t="inlineStr">
        <is>
          <t>https://www.fellkost.de/static/content/e18829/e18831/e18851/e18856/e231239/image_shop1/ger/Katze%20Nassfutter%20Pouch%20LachsLiebe%2085gr%201920%20x%201920_w480_h480_q90_jpg.jpg?checksum=54ddb5e75842eeef8a4204e8e261085ae935cbf0</t>
        </is>
      </c>
      <c r="J204" s="7" t="n">
        <v>17.99</v>
      </c>
      <c r="K204" s="6" t="n"/>
      <c r="L204" s="6" t="n"/>
      <c r="M204" s="6" t="inlineStr">
        <is>
          <t>no</t>
        </is>
      </c>
      <c r="N204" s="6" t="n"/>
      <c r="O204" s="6" t="n"/>
      <c r="P204" s="6" t="inlineStr">
        <is>
          <t>ANIfit</t>
        </is>
      </c>
      <c r="Q204" s="6" t="n"/>
      <c r="R204" s="6" t="n"/>
      <c r="S204" s="6" t="n"/>
      <c r="T204" s="6" t="inlineStr">
        <is>
          <t>new</t>
        </is>
      </c>
      <c r="U204" s="6" t="inlineStr">
        <is>
          <t>no</t>
        </is>
      </c>
      <c r="V204" s="6" t="n"/>
      <c r="W204" s="6" t="n"/>
      <c r="X204" s="6" t="n"/>
      <c r="Y204" s="6" t="n"/>
      <c r="Z204" s="6" t="n"/>
      <c r="AA204" s="6" t="n"/>
      <c r="AB204" s="6" t="n"/>
      <c r="AC204" s="6" t="n"/>
      <c r="AD204" s="6" t="n"/>
      <c r="AE204" s="6" t="n"/>
      <c r="AF204" s="6" t="n"/>
      <c r="AG204" s="6" t="n"/>
      <c r="AH204" s="6" t="n"/>
      <c r="AI204" s="6" t="n"/>
      <c r="AJ204" s="6" t="n"/>
      <c r="AK204" s="6" t="n"/>
      <c r="AL204" s="3" t="n">
        <v>500</v>
      </c>
    </row>
    <row r="205">
      <c r="A205" s="3" t="n">
        <v>429479</v>
      </c>
      <c r="B205" s="6" t="inlineStr">
        <is>
          <t>12x Himmlischer Hase Pouches (85gr.) ANIfit Qualität im Frischebeutel</t>
        </is>
      </c>
      <c r="C205" s="6" t="inlineStr">
        <is>
          <t>Mit zartem Hühnerfleisch, feinem Hasenfleisch und ausgewählten Kräutern füttern Sie ein Gericht, das Abwechslung und neue Geschmackserlebnisse in den Napf bringt.
Himmlischer Hase überzeugt durch 95 % Fleischanteil in den Fleischstückchen. Ergänzt durch Blaubeeren und Petersilie entsteht ein delikates Menü, das für Katzen eine willkommene Abwechslung darstellt.
Die Verpackung enthält eine servierfertige Portion (85 Gramm) mit feinen Fleischstücken in schmackhafter Sauce. Ideal zur Förderung der Flüssigkeitsaufnahme.
Dank des hohen Fleischanteils und der ausgewogenen Rezeptur eignet sich „Himmlischer Hase“ perfekt für eine artgerechte, naturnahe Ernährung in jeder Lebensphase."</t>
        </is>
      </c>
      <c r="D205" s="6" t="inlineStr">
        <is>
          <t>in_stock</t>
        </is>
      </c>
      <c r="E205" s="6" t="n"/>
      <c r="F205" s="6" t="n"/>
      <c r="G205" s="8" t="inlineStr">
        <is>
          <t>https://www.fellkost.de/content/partners/466587/shop/shop/article/429479/himmlischer_hase_85g_12_stueck_</t>
        </is>
      </c>
      <c r="H205" s="6" t="n"/>
      <c r="I205" s="6" t="inlineStr">
        <is>
          <t>https://www.fellkost.de/static/content/e18829/e18831/e18851/e18856/e231237/image_shop1/ger/Katze%20Nassfutter%20Pouch%20Himmlischer%20Hase%2085gr%201920%20x%201920_w480_h480_q90_jpg.jpg?checksum=18c1720bf0c40f7e84b2574d65784252f34552e1</t>
        </is>
      </c>
      <c r="J205" s="7" t="n">
        <v>17.99</v>
      </c>
      <c r="K205" s="6" t="n"/>
      <c r="L205" s="6" t="n"/>
      <c r="M205" s="6" t="inlineStr">
        <is>
          <t>no</t>
        </is>
      </c>
      <c r="N205" s="6" t="n"/>
      <c r="O205" s="6" t="n"/>
      <c r="P205" s="6" t="inlineStr">
        <is>
          <t>ANIfit</t>
        </is>
      </c>
      <c r="Q205" s="6" t="n"/>
      <c r="R205" s="6" t="n"/>
      <c r="S205" s="6" t="n"/>
      <c r="T205" s="6" t="inlineStr">
        <is>
          <t>new</t>
        </is>
      </c>
      <c r="U205" s="6" t="inlineStr">
        <is>
          <t>no</t>
        </is>
      </c>
      <c r="V205" s="6" t="n"/>
      <c r="W205" s="6" t="n"/>
      <c r="X205" s="6" t="n"/>
      <c r="Y205" s="6" t="n"/>
      <c r="Z205" s="6" t="n"/>
      <c r="AA205" s="6" t="n"/>
      <c r="AB205" s="6" t="n"/>
      <c r="AC205" s="6" t="n"/>
      <c r="AD205" s="6" t="n"/>
      <c r="AE205" s="6" t="n"/>
      <c r="AF205" s="6" t="n"/>
      <c r="AG205" s="6" t="n"/>
      <c r="AH205" s="6" t="n"/>
      <c r="AI205" s="6" t="n"/>
      <c r="AJ205" s="6" t="n"/>
      <c r="AK205" s="6" t="n"/>
      <c r="AL205" s="3" t="n">
        <v>500</v>
      </c>
    </row>
    <row r="206">
      <c r="A206" s="3" t="n">
        <v>50497</v>
      </c>
      <c r="B206" s="6" t="inlineStr">
        <is>
          <t>ANIfit Adventskalender - Der Weihnachtskalender für Hunde &amp; Katzen</t>
        </is>
      </c>
      <c r="C206" s="6" t="inlineStr">
        <is>
          <t>Leckerer ANIfit Adventskalender für Ihren udn oder Ihre Katze. Limitiert auf 2000 Stk.</t>
        </is>
      </c>
      <c r="D206" s="6" t="inlineStr">
        <is>
          <t>in_stock</t>
        </is>
      </c>
      <c r="E206" s="6" t="n"/>
      <c r="F206" s="6" t="n"/>
      <c r="G206" s="8" t="inlineStr">
        <is>
          <t>https://www.fellkost.de/content/partners/466587/shop/shop/article/50497/adventskalender_hund_katze_1_stueck_</t>
        </is>
      </c>
      <c r="H206" s="6" t="n"/>
      <c r="I206" s="6" t="inlineStr">
        <is>
          <t>https://www.fellkost.de/static/content/e18829/e18831/e18851/e28916/e48531/image_shop1/ger/ANIfit%20Adventskalender%20Hund%20Katze%202025%201920%20x%201920_w480_h480_q90_jpg.jpg?checksum=2bdf83bd8f25fc77e22230386f653d41ff4bd6cb</t>
        </is>
      </c>
      <c r="J206" s="7" t="n">
        <v>26.49</v>
      </c>
      <c r="K206" s="6" t="n"/>
      <c r="L206" s="6" t="n"/>
      <c r="M206" s="6" t="inlineStr">
        <is>
          <t>no</t>
        </is>
      </c>
      <c r="N206" s="6" t="n"/>
      <c r="O206" s="6" t="n"/>
      <c r="P206" s="6" t="inlineStr">
        <is>
          <t>ANIfit</t>
        </is>
      </c>
      <c r="Q206" s="6" t="n"/>
      <c r="R206" s="6" t="n"/>
      <c r="S206" s="6" t="n"/>
      <c r="T206" s="6" t="inlineStr">
        <is>
          <t>new</t>
        </is>
      </c>
      <c r="U206" s="6" t="inlineStr">
        <is>
          <t>no</t>
        </is>
      </c>
      <c r="V206" s="6" t="n"/>
      <c r="W206" s="6" t="n"/>
      <c r="X206" s="6" t="n"/>
      <c r="Y206" s="6" t="n"/>
      <c r="Z206" s="6" t="n"/>
      <c r="AA206" s="6" t="n"/>
      <c r="AB206" s="6" t="n"/>
      <c r="AC206" s="6" t="n"/>
      <c r="AD206" s="6" t="n"/>
      <c r="AE206" s="6" t="n"/>
      <c r="AF206" s="6" t="n"/>
      <c r="AG206" s="6" t="n"/>
      <c r="AH206" s="6" t="n"/>
      <c r="AI206" s="6" t="n"/>
      <c r="AJ206" s="6" t="n"/>
      <c r="AK206" s="6" t="n"/>
      <c r="AL206" s="3" t="n">
        <v>2000</v>
      </c>
    </row>
    <row r="207">
      <c r="G207" s="17" t="n"/>
      <c r="I207" s="17" t="n"/>
    </row>
    <row r="208">
      <c r="G208" s="17" t="n"/>
      <c r="I208" s="17" t="n"/>
    </row>
    <row r="209">
      <c r="G209" s="17" t="n"/>
      <c r="I209" s="17" t="n"/>
    </row>
    <row r="210">
      <c r="G210" s="17" t="n"/>
      <c r="I210" s="17" t="n"/>
    </row>
    <row r="211">
      <c r="G211" s="17" t="n"/>
      <c r="I211" s="17" t="n"/>
    </row>
    <row r="212">
      <c r="G212" s="17" t="n"/>
      <c r="I212" s="17" t="n"/>
    </row>
    <row r="213">
      <c r="G213" s="17" t="n"/>
      <c r="I213" s="17" t="n"/>
    </row>
    <row r="214">
      <c r="G214" s="17" t="n"/>
      <c r="I214" s="17" t="n"/>
    </row>
    <row r="215">
      <c r="G215" s="17" t="n"/>
      <c r="I215" s="17" t="n"/>
    </row>
    <row r="216">
      <c r="G216" s="17" t="n"/>
      <c r="I216" s="17" t="n"/>
    </row>
    <row r="217">
      <c r="G217" s="17" t="n"/>
      <c r="I217" s="17" t="n"/>
    </row>
    <row r="218">
      <c r="G218" s="17" t="n"/>
      <c r="I218" s="17" t="n"/>
    </row>
    <row r="219">
      <c r="G219" s="17" t="n"/>
      <c r="I219" s="17" t="n"/>
    </row>
    <row r="220">
      <c r="G220" s="17" t="n"/>
      <c r="I220" s="17" t="n"/>
    </row>
    <row r="221">
      <c r="G221" s="17" t="n"/>
      <c r="I221" s="17" t="n"/>
    </row>
    <row r="222">
      <c r="G222" s="17" t="n"/>
      <c r="I222" s="17" t="n"/>
    </row>
    <row r="223">
      <c r="G223" s="17" t="n"/>
      <c r="I223" s="17" t="n"/>
    </row>
    <row r="224">
      <c r="G224" s="17" t="n"/>
      <c r="I224" s="17" t="n"/>
    </row>
    <row r="225">
      <c r="G225" s="17" t="n"/>
      <c r="I225" s="17" t="n"/>
    </row>
    <row r="226">
      <c r="G226" s="17" t="n"/>
      <c r="I226" s="17" t="n"/>
    </row>
    <row r="227">
      <c r="G227" s="17" t="n"/>
      <c r="I227" s="17" t="n"/>
    </row>
    <row r="228">
      <c r="G228" s="17" t="n"/>
      <c r="I228" s="17" t="n"/>
    </row>
    <row r="229">
      <c r="G229" s="17" t="n"/>
      <c r="I229" s="17" t="n"/>
    </row>
    <row r="230">
      <c r="G230" s="17" t="n"/>
      <c r="I230" s="17" t="n"/>
    </row>
    <row r="231">
      <c r="G231" s="17" t="n"/>
      <c r="I231" s="17" t="n"/>
    </row>
    <row r="232">
      <c r="G232" s="17" t="n"/>
      <c r="I232" s="17" t="n"/>
    </row>
    <row r="233">
      <c r="G233" s="17" t="n"/>
      <c r="I233" s="17" t="n"/>
    </row>
    <row r="234">
      <c r="G234" s="17" t="n"/>
      <c r="I234" s="17" t="n"/>
    </row>
    <row r="235">
      <c r="G235" s="17" t="n"/>
      <c r="I235" s="17" t="n"/>
    </row>
    <row r="236">
      <c r="G236" s="17" t="n"/>
      <c r="I236" s="17" t="n"/>
    </row>
    <row r="237">
      <c r="G237" s="17" t="n"/>
      <c r="I237" s="17" t="n"/>
    </row>
    <row r="238">
      <c r="G238" s="17" t="n"/>
      <c r="I238" s="17" t="n"/>
    </row>
    <row r="239">
      <c r="G239" s="17" t="n"/>
      <c r="I239" s="17" t="n"/>
    </row>
    <row r="240">
      <c r="G240" s="17" t="n"/>
      <c r="I240" s="17" t="n"/>
    </row>
    <row r="241">
      <c r="G241" s="17" t="n"/>
      <c r="I241" s="17" t="n"/>
    </row>
    <row r="242">
      <c r="G242" s="17" t="n"/>
      <c r="I242" s="17" t="n"/>
    </row>
    <row r="243">
      <c r="G243" s="17" t="n"/>
      <c r="I243" s="17" t="n"/>
    </row>
    <row r="244">
      <c r="G244" s="17" t="n"/>
      <c r="I244" s="17" t="n"/>
    </row>
    <row r="245">
      <c r="G245" s="17" t="n"/>
      <c r="I245" s="17" t="n"/>
    </row>
    <row r="246">
      <c r="G246" s="17" t="n"/>
      <c r="I246" s="17" t="n"/>
    </row>
    <row r="247">
      <c r="G247" s="17" t="n"/>
      <c r="I247" s="17" t="n"/>
    </row>
    <row r="248">
      <c r="G248" s="17" t="n"/>
      <c r="I248" s="17" t="n"/>
    </row>
    <row r="249">
      <c r="G249" s="17" t="n"/>
      <c r="I249" s="17" t="n"/>
    </row>
    <row r="250">
      <c r="G250" s="17" t="n"/>
      <c r="I250" s="17" t="n"/>
    </row>
    <row r="251">
      <c r="G251" s="17" t="n"/>
      <c r="I251" s="17" t="n"/>
    </row>
    <row r="252">
      <c r="G252" s="17" t="n"/>
      <c r="I252" s="17" t="n"/>
    </row>
    <row r="253">
      <c r="G253" s="17" t="n"/>
      <c r="I253" s="17" t="n"/>
    </row>
    <row r="254">
      <c r="G254" s="17" t="n"/>
      <c r="I254" s="17" t="n"/>
    </row>
    <row r="255">
      <c r="G255" s="17" t="n"/>
      <c r="I255" s="17" t="n"/>
    </row>
    <row r="256">
      <c r="G256" s="17" t="n"/>
      <c r="I256" s="17" t="n"/>
    </row>
    <row r="257">
      <c r="G257" s="17" t="n"/>
      <c r="I257" s="17" t="n"/>
    </row>
    <row r="258">
      <c r="G258" s="17" t="n"/>
      <c r="I258" s="17" t="n"/>
    </row>
    <row r="259">
      <c r="G259" s="17" t="n"/>
      <c r="I259" s="17" t="n"/>
    </row>
    <row r="260">
      <c r="G260" s="17" t="n"/>
      <c r="I260" s="17" t="n"/>
    </row>
    <row r="261">
      <c r="G261" s="17" t="n"/>
      <c r="I261" s="17" t="n"/>
    </row>
    <row r="262">
      <c r="G262" s="17" t="n"/>
      <c r="I262" s="17" t="n"/>
    </row>
    <row r="263">
      <c r="G263" s="17" t="n"/>
      <c r="I263" s="17" t="n"/>
    </row>
    <row r="264">
      <c r="G264" s="17" t="n"/>
      <c r="I264" s="17" t="n"/>
    </row>
    <row r="265">
      <c r="G265" s="17" t="n"/>
      <c r="I265" s="17" t="n"/>
    </row>
    <row r="266">
      <c r="G266" s="17" t="n"/>
      <c r="I266" s="17" t="n"/>
    </row>
    <row r="267">
      <c r="G267" s="17" t="n"/>
      <c r="I267" s="17" t="n"/>
    </row>
    <row r="268">
      <c r="G268" s="17" t="n"/>
      <c r="I268" s="17" t="n"/>
    </row>
    <row r="269">
      <c r="G269" s="17" t="n"/>
      <c r="I269" s="17" t="n"/>
    </row>
    <row r="270">
      <c r="G270" s="17" t="n"/>
      <c r="I270" s="17" t="n"/>
    </row>
    <row r="271">
      <c r="G271" s="17" t="n"/>
      <c r="I271" s="17" t="n"/>
    </row>
    <row r="272">
      <c r="G272" s="17" t="n"/>
      <c r="I272" s="17" t="n"/>
    </row>
    <row r="273">
      <c r="G273" s="17" t="n"/>
      <c r="I273" s="17" t="n"/>
    </row>
    <row r="274">
      <c r="G274" s="17" t="n"/>
      <c r="I274" s="17" t="n"/>
    </row>
    <row r="275">
      <c r="G275" s="17" t="n"/>
      <c r="I275" s="17" t="n"/>
    </row>
    <row r="276">
      <c r="G276" s="17" t="n"/>
      <c r="I276" s="17" t="n"/>
    </row>
    <row r="277">
      <c r="G277" s="17" t="n"/>
      <c r="I277" s="17" t="n"/>
    </row>
    <row r="278">
      <c r="G278" s="17" t="n"/>
      <c r="I278" s="17" t="n"/>
    </row>
    <row r="279">
      <c r="G279" s="17" t="n"/>
      <c r="I279" s="17" t="n"/>
    </row>
    <row r="280">
      <c r="G280" s="17" t="n"/>
      <c r="I280" s="17" t="n"/>
    </row>
    <row r="281">
      <c r="G281" s="17" t="n"/>
      <c r="I281" s="17" t="n"/>
    </row>
    <row r="282">
      <c r="G282" s="17" t="n"/>
      <c r="I282" s="17" t="n"/>
    </row>
    <row r="283">
      <c r="G283" s="17" t="n"/>
      <c r="I283" s="17" t="n"/>
    </row>
    <row r="284">
      <c r="G284" s="17" t="n"/>
      <c r="I284" s="17" t="n"/>
    </row>
    <row r="285">
      <c r="G285" s="17" t="n"/>
      <c r="I285" s="17" t="n"/>
    </row>
    <row r="286">
      <c r="G286" s="17" t="n"/>
      <c r="I286" s="17" t="n"/>
    </row>
    <row r="287">
      <c r="G287" s="17" t="n"/>
      <c r="I287" s="17" t="n"/>
    </row>
    <row r="288">
      <c r="G288" s="17" t="n"/>
      <c r="I288" s="17" t="n"/>
    </row>
    <row r="289">
      <c r="G289" s="17" t="n"/>
      <c r="I289" s="17" t="n"/>
    </row>
    <row r="290">
      <c r="G290" s="17" t="n"/>
      <c r="I290" s="17" t="n"/>
    </row>
    <row r="291">
      <c r="G291" s="17" t="n"/>
      <c r="I291" s="17" t="n"/>
    </row>
    <row r="292">
      <c r="G292" s="17" t="n"/>
      <c r="I292" s="17" t="n"/>
    </row>
    <row r="293">
      <c r="G293" s="17" t="n"/>
      <c r="I293" s="17" t="n"/>
    </row>
    <row r="294">
      <c r="G294" s="17" t="n"/>
      <c r="I294" s="17" t="n"/>
    </row>
    <row r="295">
      <c r="G295" s="17" t="n"/>
      <c r="I295" s="17" t="n"/>
    </row>
    <row r="296">
      <c r="G296" s="17" t="n"/>
      <c r="I296" s="17" t="n"/>
    </row>
    <row r="297">
      <c r="G297" s="17" t="n"/>
      <c r="I297" s="17" t="n"/>
    </row>
    <row r="298">
      <c r="G298" s="17" t="n"/>
      <c r="I298" s="17" t="n"/>
    </row>
    <row r="299">
      <c r="G299" s="17" t="n"/>
      <c r="I299" s="17" t="n"/>
    </row>
    <row r="300">
      <c r="G300" s="17" t="n"/>
      <c r="I300" s="17" t="n"/>
    </row>
    <row r="301">
      <c r="G301" s="17" t="n"/>
      <c r="I301" s="17" t="n"/>
    </row>
    <row r="302">
      <c r="G302" s="17" t="n"/>
      <c r="I302" s="17" t="n"/>
    </row>
    <row r="303">
      <c r="G303" s="17" t="n"/>
      <c r="I303" s="17" t="n"/>
    </row>
    <row r="304">
      <c r="G304" s="17" t="n"/>
      <c r="I304" s="17" t="n"/>
    </row>
    <row r="305">
      <c r="G305" s="17" t="n"/>
      <c r="I305" s="17" t="n"/>
    </row>
    <row r="306">
      <c r="G306" s="17" t="n"/>
      <c r="I306" s="17" t="n"/>
    </row>
    <row r="307">
      <c r="G307" s="17" t="n"/>
      <c r="I307" s="17" t="n"/>
    </row>
    <row r="308">
      <c r="G308" s="17" t="n"/>
      <c r="I308" s="17" t="n"/>
    </row>
    <row r="309">
      <c r="G309" s="17" t="n"/>
      <c r="I309" s="17" t="n"/>
    </row>
    <row r="310">
      <c r="G310" s="17" t="n"/>
      <c r="I310" s="17" t="n"/>
    </row>
    <row r="311">
      <c r="G311" s="17" t="n"/>
      <c r="I311" s="17" t="n"/>
    </row>
    <row r="312">
      <c r="G312" s="17" t="n"/>
      <c r="I312" s="17" t="n"/>
    </row>
    <row r="313">
      <c r="G313" s="17" t="n"/>
      <c r="I313" s="17" t="n"/>
    </row>
    <row r="314">
      <c r="G314" s="17" t="n"/>
      <c r="I314" s="17" t="n"/>
    </row>
    <row r="315">
      <c r="G315" s="17" t="n"/>
      <c r="I315" s="17" t="n"/>
    </row>
    <row r="316">
      <c r="G316" s="17" t="n"/>
      <c r="I316" s="17" t="n"/>
    </row>
    <row r="317">
      <c r="G317" s="17" t="n"/>
      <c r="I317" s="17" t="n"/>
    </row>
    <row r="318">
      <c r="G318" s="17" t="n"/>
      <c r="I318" s="17" t="n"/>
    </row>
    <row r="319">
      <c r="G319" s="17" t="n"/>
      <c r="I319" s="17" t="n"/>
    </row>
    <row r="320">
      <c r="G320" s="17" t="n"/>
      <c r="I320" s="17" t="n"/>
    </row>
    <row r="321">
      <c r="G321" s="17" t="n"/>
      <c r="I321" s="17" t="n"/>
    </row>
    <row r="322">
      <c r="G322" s="17" t="n"/>
      <c r="I322" s="17" t="n"/>
    </row>
    <row r="323">
      <c r="G323" s="17" t="n"/>
      <c r="I323" s="17" t="n"/>
    </row>
    <row r="324">
      <c r="G324" s="17" t="n"/>
      <c r="I324" s="17" t="n"/>
    </row>
    <row r="325">
      <c r="G325" s="17" t="n"/>
      <c r="I325" s="17" t="n"/>
    </row>
    <row r="326">
      <c r="G326" s="17" t="n"/>
      <c r="I326" s="17" t="n"/>
    </row>
    <row r="327">
      <c r="G327" s="17" t="n"/>
      <c r="I327" s="17" t="n"/>
    </row>
    <row r="328">
      <c r="G328" s="17" t="n"/>
      <c r="I328" s="17" t="n"/>
    </row>
    <row r="329">
      <c r="G329" s="17" t="n"/>
      <c r="I329" s="17" t="n"/>
    </row>
    <row r="330">
      <c r="G330" s="17" t="n"/>
      <c r="I330" s="17" t="n"/>
    </row>
    <row r="331">
      <c r="G331" s="17" t="n"/>
      <c r="I331" s="17" t="n"/>
    </row>
    <row r="332">
      <c r="G332" s="17" t="n"/>
      <c r="I332" s="17" t="n"/>
    </row>
    <row r="333">
      <c r="G333" s="17" t="n"/>
      <c r="I333" s="17" t="n"/>
    </row>
    <row r="334">
      <c r="G334" s="17" t="n"/>
      <c r="I334" s="17" t="n"/>
    </row>
    <row r="335">
      <c r="G335" s="17" t="n"/>
      <c r="I335" s="17" t="n"/>
    </row>
    <row r="336">
      <c r="G336" s="17" t="n"/>
      <c r="I336" s="17" t="n"/>
    </row>
    <row r="337">
      <c r="G337" s="17" t="n"/>
      <c r="I337" s="17" t="n"/>
    </row>
    <row r="338">
      <c r="G338" s="17" t="n"/>
      <c r="I338" s="17" t="n"/>
    </row>
    <row r="339">
      <c r="G339" s="17" t="n"/>
      <c r="I339" s="17" t="n"/>
    </row>
    <row r="340">
      <c r="G340" s="17" t="n"/>
      <c r="I340" s="17" t="n"/>
    </row>
    <row r="341">
      <c r="G341" s="17" t="n"/>
      <c r="I341" s="17" t="n"/>
    </row>
    <row r="342">
      <c r="G342" s="17" t="n"/>
      <c r="I342" s="17" t="n"/>
    </row>
    <row r="343">
      <c r="G343" s="17" t="n"/>
      <c r="I343" s="17" t="n"/>
    </row>
    <row r="344">
      <c r="G344" s="17" t="n"/>
      <c r="I344" s="17" t="n"/>
    </row>
    <row r="345">
      <c r="G345" s="17" t="n"/>
      <c r="I345" s="17" t="n"/>
    </row>
    <row r="346">
      <c r="G346" s="17" t="n"/>
      <c r="I346" s="17" t="n"/>
    </row>
    <row r="347">
      <c r="G347" s="17" t="n"/>
      <c r="I347" s="17" t="n"/>
    </row>
    <row r="348">
      <c r="G348" s="17" t="n"/>
      <c r="I348" s="17" t="n"/>
    </row>
    <row r="349">
      <c r="G349" s="17" t="n"/>
      <c r="I349" s="17" t="n"/>
    </row>
    <row r="350">
      <c r="G350" s="17" t="n"/>
      <c r="I350" s="17" t="n"/>
    </row>
    <row r="351">
      <c r="G351" s="17" t="n"/>
      <c r="I351" s="17" t="n"/>
    </row>
    <row r="352">
      <c r="G352" s="17" t="n"/>
      <c r="I352" s="17" t="n"/>
    </row>
    <row r="353">
      <c r="G353" s="17" t="n"/>
      <c r="I353" s="17" t="n"/>
    </row>
    <row r="354">
      <c r="G354" s="17" t="n"/>
      <c r="I354" s="17" t="n"/>
    </row>
    <row r="355">
      <c r="G355" s="17" t="n"/>
      <c r="I355" s="17" t="n"/>
    </row>
    <row r="356">
      <c r="G356" s="17" t="n"/>
      <c r="I356" s="17" t="n"/>
    </row>
    <row r="357">
      <c r="G357" s="17" t="n"/>
      <c r="I357" s="17" t="n"/>
    </row>
    <row r="358">
      <c r="G358" s="17" t="n"/>
      <c r="I358" s="17" t="n"/>
    </row>
    <row r="359">
      <c r="G359" s="17" t="n"/>
      <c r="I359" s="17" t="n"/>
    </row>
    <row r="360">
      <c r="G360" s="17" t="n"/>
      <c r="I360" s="17" t="n"/>
    </row>
    <row r="361">
      <c r="G361" s="17" t="n"/>
      <c r="I361" s="17" t="n"/>
    </row>
    <row r="362">
      <c r="G362" s="17" t="n"/>
      <c r="I362" s="17" t="n"/>
    </row>
    <row r="363">
      <c r="G363" s="17" t="n"/>
      <c r="I363" s="17" t="n"/>
    </row>
    <row r="364">
      <c r="G364" s="17" t="n"/>
      <c r="I364" s="17" t="n"/>
    </row>
    <row r="365">
      <c r="G365" s="17" t="n"/>
      <c r="I365" s="17" t="n"/>
    </row>
    <row r="366">
      <c r="G366" s="17" t="n"/>
      <c r="I366" s="17" t="n"/>
    </row>
    <row r="367">
      <c r="G367" s="17" t="n"/>
      <c r="I367" s="17" t="n"/>
    </row>
    <row r="368">
      <c r="G368" s="17" t="n"/>
      <c r="I368" s="17" t="n"/>
    </row>
    <row r="369">
      <c r="G369" s="17" t="n"/>
      <c r="I369" s="17" t="n"/>
    </row>
    <row r="370">
      <c r="G370" s="17" t="n"/>
      <c r="I370" s="17" t="n"/>
    </row>
    <row r="371">
      <c r="G371" s="17" t="n"/>
      <c r="I371" s="17" t="n"/>
    </row>
    <row r="372">
      <c r="G372" s="17" t="n"/>
      <c r="I372" s="17" t="n"/>
    </row>
    <row r="373">
      <c r="G373" s="17" t="n"/>
      <c r="I373" s="17" t="n"/>
    </row>
    <row r="374">
      <c r="G374" s="17" t="n"/>
      <c r="I374" s="17" t="n"/>
    </row>
    <row r="375">
      <c r="G375" s="17" t="n"/>
      <c r="I375" s="17" t="n"/>
    </row>
    <row r="376">
      <c r="G376" s="17" t="n"/>
      <c r="I376" s="17" t="n"/>
    </row>
    <row r="377">
      <c r="G377" s="17" t="n"/>
      <c r="I377" s="17" t="n"/>
    </row>
    <row r="378">
      <c r="G378" s="17" t="n"/>
      <c r="I378" s="17" t="n"/>
    </row>
    <row r="379">
      <c r="G379" s="17" t="n"/>
      <c r="I379" s="17" t="n"/>
    </row>
    <row r="380">
      <c r="G380" s="17" t="n"/>
      <c r="I380" s="17" t="n"/>
    </row>
    <row r="381">
      <c r="G381" s="17" t="n"/>
      <c r="I381" s="17" t="n"/>
    </row>
    <row r="382">
      <c r="G382" s="17" t="n"/>
      <c r="I382" s="17" t="n"/>
    </row>
    <row r="383">
      <c r="G383" s="17" t="n"/>
      <c r="I383" s="17" t="n"/>
    </row>
    <row r="384">
      <c r="G384" s="17" t="n"/>
      <c r="I384" s="17" t="n"/>
    </row>
    <row r="385">
      <c r="G385" s="17" t="n"/>
      <c r="I385" s="17" t="n"/>
    </row>
    <row r="386">
      <c r="G386" s="17" t="n"/>
      <c r="I386" s="17" t="n"/>
    </row>
    <row r="387">
      <c r="G387" s="17" t="n"/>
      <c r="I387" s="17" t="n"/>
    </row>
    <row r="388">
      <c r="G388" s="17" t="n"/>
      <c r="I388" s="17" t="n"/>
    </row>
    <row r="389">
      <c r="G389" s="17" t="n"/>
      <c r="I389" s="17" t="n"/>
    </row>
    <row r="390">
      <c r="G390" s="17" t="n"/>
      <c r="I390" s="17" t="n"/>
    </row>
    <row r="391">
      <c r="G391" s="17" t="n"/>
      <c r="I391" s="17" t="n"/>
    </row>
    <row r="392">
      <c r="G392" s="17" t="n"/>
      <c r="I392" s="17" t="n"/>
    </row>
    <row r="393">
      <c r="G393" s="17" t="n"/>
      <c r="I393" s="17" t="n"/>
    </row>
    <row r="394">
      <c r="G394" s="17" t="n"/>
      <c r="I394" s="17" t="n"/>
    </row>
    <row r="395">
      <c r="G395" s="17" t="n"/>
      <c r="I395" s="17" t="n"/>
    </row>
    <row r="396">
      <c r="G396" s="17" t="n"/>
      <c r="I396" s="17" t="n"/>
    </row>
    <row r="397">
      <c r="G397" s="17" t="n"/>
      <c r="I397" s="17" t="n"/>
    </row>
    <row r="398">
      <c r="G398" s="17" t="n"/>
      <c r="I398" s="17" t="n"/>
    </row>
    <row r="399">
      <c r="G399" s="17" t="n"/>
      <c r="I399" s="17" t="n"/>
    </row>
    <row r="400">
      <c r="G400" s="17" t="n"/>
      <c r="I400" s="17" t="n"/>
    </row>
    <row r="401">
      <c r="G401" s="17" t="n"/>
      <c r="I401" s="17" t="n"/>
    </row>
    <row r="402">
      <c r="G402" s="17" t="n"/>
      <c r="I402" s="17" t="n"/>
    </row>
    <row r="403">
      <c r="G403" s="17" t="n"/>
      <c r="I403" s="17" t="n"/>
    </row>
    <row r="404">
      <c r="G404" s="17" t="n"/>
      <c r="I404" s="17" t="n"/>
    </row>
    <row r="405">
      <c r="G405" s="17" t="n"/>
      <c r="I405" s="17" t="n"/>
    </row>
    <row r="406">
      <c r="G406" s="17" t="n"/>
      <c r="I406" s="17" t="n"/>
    </row>
    <row r="407">
      <c r="G407" s="17" t="n"/>
      <c r="I407" s="17" t="n"/>
    </row>
    <row r="408">
      <c r="G408" s="17" t="n"/>
      <c r="I408" s="17" t="n"/>
    </row>
    <row r="409">
      <c r="G409" s="17" t="n"/>
      <c r="I409" s="17" t="n"/>
    </row>
    <row r="410">
      <c r="G410" s="17" t="n"/>
      <c r="I410" s="17" t="n"/>
    </row>
    <row r="411">
      <c r="G411" s="17" t="n"/>
      <c r="I411" s="17" t="n"/>
    </row>
    <row r="412">
      <c r="G412" s="17" t="n"/>
      <c r="I412" s="17" t="n"/>
    </row>
    <row r="413">
      <c r="G413" s="17" t="n"/>
      <c r="I413" s="17" t="n"/>
    </row>
    <row r="414">
      <c r="G414" s="17" t="n"/>
      <c r="I414" s="17" t="n"/>
    </row>
    <row r="415">
      <c r="G415" s="17" t="n"/>
      <c r="I415" s="17" t="n"/>
    </row>
    <row r="416">
      <c r="G416" s="17" t="n"/>
      <c r="I416" s="17" t="n"/>
    </row>
    <row r="417">
      <c r="G417" s="17" t="n"/>
      <c r="I417" s="17" t="n"/>
    </row>
    <row r="418">
      <c r="G418" s="17" t="n"/>
      <c r="I418" s="17" t="n"/>
    </row>
    <row r="419">
      <c r="G419" s="17" t="n"/>
      <c r="I419" s="17" t="n"/>
    </row>
    <row r="420">
      <c r="G420" s="17" t="n"/>
      <c r="I420" s="17" t="n"/>
    </row>
    <row r="421">
      <c r="G421" s="17" t="n"/>
      <c r="I421" s="17" t="n"/>
    </row>
    <row r="422">
      <c r="G422" s="17" t="n"/>
      <c r="I422" s="17" t="n"/>
    </row>
    <row r="423">
      <c r="G423" s="17" t="n"/>
      <c r="I423" s="17" t="n"/>
    </row>
    <row r="424">
      <c r="G424" s="17" t="n"/>
      <c r="I424" s="17" t="n"/>
    </row>
    <row r="425">
      <c r="G425" s="17" t="n"/>
      <c r="I425" s="17" t="n"/>
    </row>
    <row r="426">
      <c r="G426" s="17" t="n"/>
      <c r="I426" s="17" t="n"/>
    </row>
    <row r="427">
      <c r="G427" s="17" t="n"/>
      <c r="I427" s="17" t="n"/>
    </row>
    <row r="428">
      <c r="G428" s="17" t="n"/>
      <c r="I428" s="17" t="n"/>
    </row>
    <row r="429">
      <c r="G429" s="17" t="n"/>
      <c r="I429" s="17" t="n"/>
    </row>
    <row r="430">
      <c r="G430" s="17" t="n"/>
      <c r="I430" s="17" t="n"/>
    </row>
    <row r="431">
      <c r="G431" s="17" t="n"/>
      <c r="I431" s="17" t="n"/>
    </row>
    <row r="432">
      <c r="G432" s="17" t="n"/>
      <c r="I432" s="17" t="n"/>
    </row>
    <row r="433">
      <c r="G433" s="17" t="n"/>
      <c r="I433" s="17" t="n"/>
    </row>
    <row r="434">
      <c r="G434" s="17" t="n"/>
      <c r="I434" s="17" t="n"/>
    </row>
    <row r="435">
      <c r="G435" s="17" t="n"/>
      <c r="I435" s="17" t="n"/>
    </row>
    <row r="436">
      <c r="G436" s="17" t="n"/>
      <c r="I436" s="17" t="n"/>
    </row>
    <row r="437">
      <c r="G437" s="17" t="n"/>
      <c r="I437" s="17" t="n"/>
    </row>
    <row r="438">
      <c r="G438" s="17" t="n"/>
      <c r="I438" s="17" t="n"/>
    </row>
    <row r="439">
      <c r="G439" s="17" t="n"/>
      <c r="I439" s="17" t="n"/>
    </row>
    <row r="440">
      <c r="G440" s="17" t="n"/>
      <c r="I440" s="17" t="n"/>
    </row>
    <row r="441">
      <c r="G441" s="17" t="n"/>
      <c r="I441" s="17" t="n"/>
    </row>
    <row r="442">
      <c r="G442" s="17" t="n"/>
      <c r="I442" s="17" t="n"/>
    </row>
    <row r="443">
      <c r="G443" s="17" t="n"/>
      <c r="I443" s="17" t="n"/>
    </row>
    <row r="444">
      <c r="G444" s="17" t="n"/>
      <c r="I444" s="17" t="n"/>
    </row>
    <row r="445">
      <c r="G445" s="17" t="n"/>
      <c r="I445" s="17" t="n"/>
    </row>
    <row r="446">
      <c r="G446" s="17" t="n"/>
      <c r="I446" s="17" t="n"/>
    </row>
    <row r="447">
      <c r="G447" s="17" t="n"/>
      <c r="I447" s="17" t="n"/>
    </row>
    <row r="448">
      <c r="G448" s="17" t="n"/>
      <c r="I448" s="17" t="n"/>
    </row>
    <row r="449">
      <c r="G449" s="17" t="n"/>
      <c r="I449" s="17" t="n"/>
    </row>
    <row r="450">
      <c r="G450" s="17" t="n"/>
      <c r="I450" s="17" t="n"/>
    </row>
    <row r="451">
      <c r="G451" s="17" t="n"/>
      <c r="I451" s="17" t="n"/>
    </row>
    <row r="452">
      <c r="G452" s="17" t="n"/>
      <c r="I452" s="17" t="n"/>
    </row>
    <row r="453">
      <c r="G453" s="17" t="n"/>
      <c r="I453" s="17" t="n"/>
    </row>
    <row r="454">
      <c r="G454" s="17" t="n"/>
      <c r="I454" s="17" t="n"/>
    </row>
    <row r="455">
      <c r="G455" s="17" t="n"/>
      <c r="I455" s="17" t="n"/>
    </row>
    <row r="456">
      <c r="G456" s="17" t="n"/>
      <c r="I456" s="17" t="n"/>
    </row>
    <row r="457">
      <c r="G457" s="17" t="n"/>
      <c r="I457" s="17" t="n"/>
    </row>
    <row r="458">
      <c r="G458" s="17" t="n"/>
      <c r="I458" s="17" t="n"/>
    </row>
    <row r="459">
      <c r="G459" s="17" t="n"/>
      <c r="I459" s="17" t="n"/>
    </row>
    <row r="460">
      <c r="G460" s="17" t="n"/>
      <c r="I460" s="17" t="n"/>
    </row>
    <row r="461">
      <c r="G461" s="17" t="n"/>
      <c r="I461" s="17" t="n"/>
    </row>
    <row r="462">
      <c r="G462" s="17" t="n"/>
      <c r="I462" s="17" t="n"/>
    </row>
    <row r="463">
      <c r="G463" s="17" t="n"/>
      <c r="I463" s="17" t="n"/>
    </row>
    <row r="464">
      <c r="G464" s="17" t="n"/>
      <c r="I464" s="17" t="n"/>
    </row>
    <row r="465">
      <c r="G465" s="17" t="n"/>
      <c r="I465" s="17" t="n"/>
    </row>
    <row r="466">
      <c r="G466" s="17" t="n"/>
      <c r="I466" s="17" t="n"/>
    </row>
    <row r="467">
      <c r="G467" s="17" t="n"/>
      <c r="I467" s="17" t="n"/>
    </row>
    <row r="468">
      <c r="G468" s="17" t="n"/>
      <c r="I468" s="17" t="n"/>
    </row>
    <row r="469">
      <c r="G469" s="17" t="n"/>
      <c r="I469" s="17" t="n"/>
    </row>
    <row r="470">
      <c r="G470" s="17" t="n"/>
      <c r="I470" s="17" t="n"/>
    </row>
    <row r="471">
      <c r="G471" s="17" t="n"/>
      <c r="I471" s="17" t="n"/>
    </row>
    <row r="472">
      <c r="G472" s="17" t="n"/>
      <c r="I472" s="17" t="n"/>
    </row>
    <row r="473">
      <c r="G473" s="17" t="n"/>
      <c r="I473" s="17" t="n"/>
    </row>
    <row r="474">
      <c r="G474" s="17" t="n"/>
      <c r="I474" s="17" t="n"/>
    </row>
    <row r="475">
      <c r="G475" s="17" t="n"/>
      <c r="I475" s="17" t="n"/>
    </row>
    <row r="476">
      <c r="G476" s="17" t="n"/>
      <c r="I476" s="17" t="n"/>
    </row>
    <row r="477">
      <c r="G477" s="17" t="n"/>
      <c r="I477" s="17" t="n"/>
    </row>
    <row r="478">
      <c r="G478" s="17" t="n"/>
      <c r="I478" s="17" t="n"/>
    </row>
    <row r="479">
      <c r="G479" s="17" t="n"/>
      <c r="I479" s="17" t="n"/>
    </row>
    <row r="480">
      <c r="G480" s="17" t="n"/>
      <c r="I480" s="17" t="n"/>
    </row>
    <row r="481">
      <c r="G481" s="17" t="n"/>
      <c r="I481" s="17" t="n"/>
    </row>
    <row r="482">
      <c r="G482" s="17" t="n"/>
      <c r="I482" s="17" t="n"/>
    </row>
    <row r="483">
      <c r="G483" s="17" t="n"/>
      <c r="I483" s="17" t="n"/>
    </row>
    <row r="484">
      <c r="G484" s="17" t="n"/>
      <c r="I484" s="17" t="n"/>
    </row>
    <row r="485">
      <c r="G485" s="17" t="n"/>
      <c r="I485" s="17" t="n"/>
    </row>
    <row r="486">
      <c r="G486" s="17" t="n"/>
      <c r="I486" s="17" t="n"/>
    </row>
    <row r="487">
      <c r="G487" s="17" t="n"/>
      <c r="I487" s="17" t="n"/>
    </row>
    <row r="488">
      <c r="G488" s="17" t="n"/>
      <c r="I488" s="17" t="n"/>
    </row>
    <row r="489">
      <c r="G489" s="17" t="n"/>
      <c r="I489" s="17" t="n"/>
    </row>
    <row r="490">
      <c r="G490" s="17" t="n"/>
      <c r="I490" s="17" t="n"/>
    </row>
    <row r="491">
      <c r="G491" s="17" t="n"/>
      <c r="I491" s="17" t="n"/>
    </row>
    <row r="492">
      <c r="G492" s="17" t="n"/>
      <c r="I492" s="17" t="n"/>
    </row>
    <row r="493">
      <c r="G493" s="17" t="n"/>
      <c r="I493" s="17" t="n"/>
    </row>
    <row r="494">
      <c r="G494" s="17" t="n"/>
      <c r="I494" s="17" t="n"/>
    </row>
    <row r="495">
      <c r="G495" s="17" t="n"/>
      <c r="I495" s="17" t="n"/>
    </row>
    <row r="496">
      <c r="G496" s="17" t="n"/>
      <c r="I496" s="17" t="n"/>
    </row>
    <row r="497">
      <c r="G497" s="17" t="n"/>
      <c r="I497" s="17" t="n"/>
    </row>
    <row r="498">
      <c r="G498" s="17" t="n"/>
      <c r="I498" s="17" t="n"/>
    </row>
    <row r="499">
      <c r="G499" s="17" t="n"/>
      <c r="I499" s="17" t="n"/>
    </row>
    <row r="500">
      <c r="G500" s="17" t="n"/>
      <c r="I500" s="17" t="n"/>
    </row>
    <row r="501">
      <c r="G501" s="17" t="n"/>
      <c r="I501" s="17" t="n"/>
    </row>
    <row r="502">
      <c r="G502" s="17" t="n"/>
      <c r="I502" s="17" t="n"/>
    </row>
    <row r="503">
      <c r="G503" s="17" t="n"/>
      <c r="I503" s="17" t="n"/>
    </row>
    <row r="504">
      <c r="G504" s="17" t="n"/>
      <c r="I504" s="17" t="n"/>
    </row>
    <row r="505">
      <c r="G505" s="17" t="n"/>
      <c r="I505" s="17" t="n"/>
    </row>
    <row r="506">
      <c r="G506" s="17" t="n"/>
      <c r="I506" s="17" t="n"/>
    </row>
    <row r="507">
      <c r="G507" s="17" t="n"/>
      <c r="I507" s="17" t="n"/>
    </row>
    <row r="508">
      <c r="G508" s="17" t="n"/>
      <c r="I508" s="17" t="n"/>
    </row>
    <row r="509">
      <c r="G509" s="17" t="n"/>
      <c r="I509" s="17" t="n"/>
    </row>
    <row r="510">
      <c r="G510" s="17" t="n"/>
      <c r="I510" s="17" t="n"/>
    </row>
    <row r="511">
      <c r="G511" s="17" t="n"/>
      <c r="I511" s="17" t="n"/>
    </row>
    <row r="512">
      <c r="G512" s="17" t="n"/>
      <c r="I512" s="17" t="n"/>
    </row>
    <row r="513">
      <c r="G513" s="17" t="n"/>
      <c r="I513" s="17" t="n"/>
    </row>
    <row r="514">
      <c r="G514" s="17" t="n"/>
      <c r="I514" s="17" t="n"/>
    </row>
    <row r="515">
      <c r="G515" s="17" t="n"/>
      <c r="I515" s="17" t="n"/>
    </row>
    <row r="516">
      <c r="G516" s="17" t="n"/>
      <c r="I516" s="17" t="n"/>
    </row>
    <row r="517">
      <c r="G517" s="17" t="n"/>
      <c r="I517" s="17" t="n"/>
    </row>
    <row r="518">
      <c r="G518" s="17" t="n"/>
      <c r="I518" s="17" t="n"/>
    </row>
    <row r="519">
      <c r="G519" s="17" t="n"/>
      <c r="I519" s="17" t="n"/>
    </row>
    <row r="520">
      <c r="G520" s="17" t="n"/>
      <c r="I520" s="17" t="n"/>
    </row>
    <row r="521">
      <c r="G521" s="17" t="n"/>
      <c r="I521" s="17" t="n"/>
    </row>
    <row r="522">
      <c r="G522" s="17" t="n"/>
      <c r="I522" s="17" t="n"/>
    </row>
    <row r="523">
      <c r="G523" s="17" t="n"/>
      <c r="I523" s="17" t="n"/>
    </row>
    <row r="524">
      <c r="G524" s="17" t="n"/>
      <c r="I524" s="17" t="n"/>
    </row>
    <row r="525">
      <c r="G525" s="17" t="n"/>
      <c r="I525" s="17" t="n"/>
    </row>
    <row r="526">
      <c r="G526" s="17" t="n"/>
      <c r="I526" s="17" t="n"/>
    </row>
    <row r="527">
      <c r="G527" s="17" t="n"/>
      <c r="I527" s="17" t="n"/>
    </row>
    <row r="528">
      <c r="G528" s="17" t="n"/>
      <c r="I528" s="17" t="n"/>
    </row>
    <row r="529">
      <c r="G529" s="17" t="n"/>
      <c r="I529" s="17" t="n"/>
    </row>
    <row r="530">
      <c r="G530" s="17" t="n"/>
      <c r="I530" s="17" t="n"/>
    </row>
    <row r="531">
      <c r="G531" s="17" t="n"/>
      <c r="I531" s="17" t="n"/>
    </row>
    <row r="532">
      <c r="G532" s="17" t="n"/>
      <c r="I532" s="17" t="n"/>
    </row>
    <row r="533">
      <c r="G533" s="17" t="n"/>
      <c r="I533" s="17" t="n"/>
    </row>
    <row r="534">
      <c r="G534" s="17" t="n"/>
      <c r="I534" s="17" t="n"/>
    </row>
    <row r="535">
      <c r="G535" s="17" t="n"/>
      <c r="I535" s="17" t="n"/>
    </row>
    <row r="536">
      <c r="G536" s="17" t="n"/>
      <c r="I536" s="17" t="n"/>
    </row>
    <row r="537">
      <c r="G537" s="17" t="n"/>
      <c r="I537" s="17" t="n"/>
    </row>
    <row r="538">
      <c r="G538" s="17" t="n"/>
      <c r="I538" s="17" t="n"/>
    </row>
    <row r="539">
      <c r="G539" s="17" t="n"/>
      <c r="I539" s="17" t="n"/>
    </row>
    <row r="540">
      <c r="G540" s="17" t="n"/>
      <c r="I540" s="17" t="n"/>
    </row>
    <row r="541">
      <c r="G541" s="17" t="n"/>
      <c r="I541" s="17" t="n"/>
    </row>
    <row r="542">
      <c r="G542" s="17" t="n"/>
      <c r="I542" s="17" t="n"/>
    </row>
    <row r="543">
      <c r="G543" s="17" t="n"/>
      <c r="I543" s="17" t="n"/>
    </row>
    <row r="544">
      <c r="G544" s="17" t="n"/>
      <c r="I544" s="17" t="n"/>
    </row>
    <row r="545">
      <c r="G545" s="17" t="n"/>
      <c r="I545" s="17" t="n"/>
    </row>
    <row r="546">
      <c r="G546" s="17" t="n"/>
      <c r="I546" s="17" t="n"/>
    </row>
    <row r="547">
      <c r="G547" s="17" t="n"/>
      <c r="I547" s="17" t="n"/>
    </row>
    <row r="548">
      <c r="G548" s="17" t="n"/>
      <c r="I548" s="17" t="n"/>
    </row>
    <row r="549">
      <c r="G549" s="17" t="n"/>
      <c r="I549" s="17" t="n"/>
    </row>
    <row r="550">
      <c r="G550" s="17" t="n"/>
      <c r="I550" s="17" t="n"/>
    </row>
    <row r="551">
      <c r="G551" s="17" t="n"/>
      <c r="I551" s="17" t="n"/>
    </row>
    <row r="552">
      <c r="G552" s="17" t="n"/>
      <c r="I552" s="17" t="n"/>
    </row>
    <row r="553">
      <c r="G553" s="17" t="n"/>
      <c r="I553" s="17" t="n"/>
    </row>
    <row r="554">
      <c r="G554" s="17" t="n"/>
      <c r="I554" s="17" t="n"/>
    </row>
    <row r="555">
      <c r="G555" s="17" t="n"/>
      <c r="I555" s="17" t="n"/>
    </row>
    <row r="556">
      <c r="G556" s="17" t="n"/>
      <c r="I556" s="17" t="n"/>
    </row>
    <row r="557">
      <c r="G557" s="17" t="n"/>
      <c r="I557" s="17" t="n"/>
    </row>
    <row r="558">
      <c r="G558" s="17" t="n"/>
      <c r="I558" s="17" t="n"/>
    </row>
    <row r="559">
      <c r="G559" s="17" t="n"/>
      <c r="I559" s="17" t="n"/>
    </row>
    <row r="560">
      <c r="G560" s="17" t="n"/>
      <c r="I560" s="17" t="n"/>
    </row>
    <row r="561">
      <c r="G561" s="17" t="n"/>
      <c r="I561" s="17" t="n"/>
    </row>
    <row r="562">
      <c r="G562" s="17" t="n"/>
      <c r="I562" s="17" t="n"/>
    </row>
    <row r="563">
      <c r="G563" s="17" t="n"/>
      <c r="I563" s="17" t="n"/>
    </row>
    <row r="564">
      <c r="G564" s="17" t="n"/>
      <c r="I564" s="17" t="n"/>
    </row>
    <row r="565">
      <c r="G565" s="17" t="n"/>
      <c r="I565" s="17" t="n"/>
    </row>
    <row r="566">
      <c r="G566" s="17" t="n"/>
      <c r="I566" s="17" t="n"/>
    </row>
    <row r="567">
      <c r="G567" s="17" t="n"/>
      <c r="I567" s="17" t="n"/>
    </row>
    <row r="568">
      <c r="G568" s="17" t="n"/>
      <c r="I568" s="17" t="n"/>
    </row>
    <row r="569">
      <c r="G569" s="17" t="n"/>
      <c r="I569" s="17" t="n"/>
    </row>
    <row r="570">
      <c r="G570" s="17" t="n"/>
      <c r="I570" s="17" t="n"/>
    </row>
    <row r="571">
      <c r="G571" s="17" t="n"/>
      <c r="I571" s="17" t="n"/>
    </row>
    <row r="572">
      <c r="G572" s="17" t="n"/>
      <c r="I572" s="17" t="n"/>
    </row>
    <row r="573">
      <c r="G573" s="17" t="n"/>
      <c r="I573" s="17" t="n"/>
    </row>
    <row r="574">
      <c r="G574" s="17" t="n"/>
      <c r="I574" s="17" t="n"/>
    </row>
    <row r="575">
      <c r="G575" s="17" t="n"/>
      <c r="I575" s="17" t="n"/>
    </row>
    <row r="576">
      <c r="G576" s="17" t="n"/>
      <c r="I576" s="17" t="n"/>
    </row>
    <row r="577">
      <c r="G577" s="17" t="n"/>
      <c r="I577" s="17" t="n"/>
    </row>
    <row r="578">
      <c r="G578" s="17" t="n"/>
      <c r="I578" s="17" t="n"/>
    </row>
    <row r="579">
      <c r="G579" s="17" t="n"/>
      <c r="I579" s="17" t="n"/>
    </row>
    <row r="580">
      <c r="G580" s="17" t="n"/>
      <c r="I580" s="17" t="n"/>
    </row>
    <row r="581">
      <c r="G581" s="17" t="n"/>
      <c r="I581" s="17" t="n"/>
    </row>
    <row r="582">
      <c r="G582" s="17" t="n"/>
      <c r="I582" s="17" t="n"/>
    </row>
    <row r="583">
      <c r="G583" s="17" t="n"/>
      <c r="I583" s="17" t="n"/>
    </row>
    <row r="584">
      <c r="G584" s="17" t="n"/>
      <c r="I584" s="17" t="n"/>
    </row>
    <row r="585">
      <c r="G585" s="17" t="n"/>
      <c r="I585" s="17" t="n"/>
    </row>
    <row r="586">
      <c r="G586" s="17" t="n"/>
      <c r="I586" s="17" t="n"/>
    </row>
    <row r="587">
      <c r="G587" s="17" t="n"/>
      <c r="I587" s="17" t="n"/>
    </row>
    <row r="588">
      <c r="G588" s="17" t="n"/>
      <c r="I588" s="17" t="n"/>
    </row>
    <row r="589">
      <c r="G589" s="17" t="n"/>
      <c r="I589" s="17" t="n"/>
    </row>
    <row r="590">
      <c r="G590" s="17" t="n"/>
      <c r="I590" s="17" t="n"/>
    </row>
    <row r="591">
      <c r="G591" s="17" t="n"/>
      <c r="I591" s="17" t="n"/>
    </row>
    <row r="592">
      <c r="G592" s="17" t="n"/>
      <c r="I592" s="17" t="n"/>
    </row>
    <row r="593">
      <c r="G593" s="17" t="n"/>
      <c r="I593" s="17" t="n"/>
    </row>
    <row r="594">
      <c r="G594" s="17" t="n"/>
      <c r="I594" s="17" t="n"/>
    </row>
    <row r="595">
      <c r="G595" s="17" t="n"/>
      <c r="I595" s="17" t="n"/>
    </row>
    <row r="596">
      <c r="G596" s="17" t="n"/>
      <c r="I596" s="17" t="n"/>
    </row>
    <row r="597">
      <c r="G597" s="17" t="n"/>
      <c r="I597" s="17" t="n"/>
    </row>
    <row r="598">
      <c r="G598" s="17" t="n"/>
      <c r="I598" s="17" t="n"/>
    </row>
    <row r="599">
      <c r="G599" s="17" t="n"/>
      <c r="I599" s="17" t="n"/>
    </row>
    <row r="600">
      <c r="G600" s="17" t="n"/>
      <c r="I600" s="17" t="n"/>
    </row>
    <row r="601">
      <c r="G601" s="17" t="n"/>
      <c r="I601" s="17" t="n"/>
    </row>
    <row r="602">
      <c r="G602" s="17" t="n"/>
      <c r="I602" s="17" t="n"/>
    </row>
    <row r="603">
      <c r="G603" s="17" t="n"/>
      <c r="I603" s="17" t="n"/>
    </row>
    <row r="604">
      <c r="G604" s="17" t="n"/>
      <c r="I604" s="17" t="n"/>
    </row>
    <row r="605">
      <c r="G605" s="17" t="n"/>
      <c r="I605" s="17" t="n"/>
    </row>
    <row r="606">
      <c r="G606" s="17" t="n"/>
      <c r="I606" s="17" t="n"/>
    </row>
    <row r="607">
      <c r="G607" s="17" t="n"/>
      <c r="I607" s="17" t="n"/>
    </row>
    <row r="608">
      <c r="G608" s="17" t="n"/>
      <c r="I608" s="17" t="n"/>
    </row>
    <row r="609">
      <c r="G609" s="17" t="n"/>
      <c r="I609" s="17" t="n"/>
    </row>
    <row r="610">
      <c r="G610" s="17" t="n"/>
      <c r="I610" s="17" t="n"/>
    </row>
    <row r="611">
      <c r="G611" s="17" t="n"/>
      <c r="I611" s="17" t="n"/>
    </row>
    <row r="612">
      <c r="G612" s="17" t="n"/>
      <c r="I612" s="17" t="n"/>
    </row>
    <row r="613">
      <c r="G613" s="17" t="n"/>
      <c r="I613" s="17" t="n"/>
    </row>
    <row r="614">
      <c r="G614" s="17" t="n"/>
      <c r="I614" s="17" t="n"/>
    </row>
    <row r="615">
      <c r="G615" s="17" t="n"/>
      <c r="I615" s="17" t="n"/>
    </row>
    <row r="616">
      <c r="G616" s="17" t="n"/>
      <c r="I616" s="17" t="n"/>
    </row>
    <row r="617">
      <c r="G617" s="17" t="n"/>
      <c r="I617" s="17" t="n"/>
    </row>
    <row r="618">
      <c r="G618" s="17" t="n"/>
      <c r="I618" s="17" t="n"/>
    </row>
    <row r="619">
      <c r="G619" s="17" t="n"/>
      <c r="I619" s="17" t="n"/>
    </row>
    <row r="620">
      <c r="G620" s="17" t="n"/>
      <c r="I620" s="17" t="n"/>
    </row>
    <row r="621">
      <c r="G621" s="17" t="n"/>
      <c r="I621" s="17" t="n"/>
    </row>
    <row r="622">
      <c r="G622" s="17" t="n"/>
      <c r="I622" s="17" t="n"/>
    </row>
    <row r="623">
      <c r="G623" s="17" t="n"/>
      <c r="I623" s="17" t="n"/>
    </row>
    <row r="624">
      <c r="G624" s="17" t="n"/>
      <c r="I624" s="17" t="n"/>
    </row>
    <row r="625">
      <c r="G625" s="17" t="n"/>
      <c r="I625" s="17" t="n"/>
    </row>
    <row r="626">
      <c r="G626" s="17" t="n"/>
      <c r="I626" s="17" t="n"/>
    </row>
    <row r="627">
      <c r="G627" s="17" t="n"/>
      <c r="I627" s="17" t="n"/>
    </row>
    <row r="628">
      <c r="G628" s="17" t="n"/>
      <c r="I628" s="17" t="n"/>
    </row>
    <row r="629">
      <c r="G629" s="17" t="n"/>
      <c r="I629" s="17" t="n"/>
    </row>
    <row r="630">
      <c r="G630" s="17" t="n"/>
      <c r="I630" s="17" t="n"/>
    </row>
    <row r="631">
      <c r="G631" s="17" t="n"/>
      <c r="I631" s="17" t="n"/>
    </row>
    <row r="632">
      <c r="G632" s="17" t="n"/>
      <c r="I632" s="17" t="n"/>
    </row>
    <row r="633">
      <c r="G633" s="17" t="n"/>
      <c r="I633" s="17" t="n"/>
    </row>
    <row r="634">
      <c r="G634" s="17" t="n"/>
      <c r="I634" s="17" t="n"/>
    </row>
    <row r="635">
      <c r="G635" s="17" t="n"/>
      <c r="I635" s="17" t="n"/>
    </row>
    <row r="636">
      <c r="G636" s="17" t="n"/>
      <c r="I636" s="17" t="n"/>
    </row>
    <row r="637">
      <c r="G637" s="17" t="n"/>
      <c r="I637" s="17" t="n"/>
    </row>
    <row r="638">
      <c r="G638" s="17" t="n"/>
      <c r="I638" s="17" t="n"/>
    </row>
    <row r="639">
      <c r="G639" s="17" t="n"/>
      <c r="I639" s="17" t="n"/>
    </row>
    <row r="640">
      <c r="G640" s="17" t="n"/>
      <c r="I640" s="17" t="n"/>
    </row>
    <row r="641">
      <c r="G641" s="17" t="n"/>
      <c r="I641" s="17" t="n"/>
    </row>
    <row r="642">
      <c r="G642" s="17" t="n"/>
      <c r="I642" s="17" t="n"/>
    </row>
    <row r="643">
      <c r="G643" s="17" t="n"/>
      <c r="I643" s="17" t="n"/>
    </row>
    <row r="644">
      <c r="G644" s="17" t="n"/>
      <c r="I644" s="17" t="n"/>
    </row>
    <row r="645">
      <c r="G645" s="17" t="n"/>
      <c r="I645" s="17" t="n"/>
    </row>
    <row r="646">
      <c r="G646" s="17" t="n"/>
      <c r="I646" s="17" t="n"/>
    </row>
    <row r="647">
      <c r="G647" s="17" t="n"/>
      <c r="I647" s="17" t="n"/>
    </row>
    <row r="648">
      <c r="G648" s="17" t="n"/>
      <c r="I648" s="17" t="n"/>
    </row>
    <row r="649">
      <c r="G649" s="17" t="n"/>
      <c r="I649" s="17" t="n"/>
    </row>
    <row r="650">
      <c r="G650" s="17" t="n"/>
      <c r="I650" s="17" t="n"/>
    </row>
    <row r="651">
      <c r="G651" s="17" t="n"/>
      <c r="I651" s="17" t="n"/>
    </row>
    <row r="652">
      <c r="G652" s="17" t="n"/>
      <c r="I652" s="17" t="n"/>
    </row>
    <row r="653">
      <c r="G653" s="17" t="n"/>
      <c r="I653" s="17" t="n"/>
    </row>
    <row r="654">
      <c r="G654" s="17" t="n"/>
      <c r="I654" s="17" t="n"/>
    </row>
    <row r="655">
      <c r="G655" s="17" t="n"/>
      <c r="I655" s="17" t="n"/>
    </row>
    <row r="656">
      <c r="G656" s="17" t="n"/>
      <c r="I656" s="17" t="n"/>
    </row>
    <row r="657">
      <c r="G657" s="17" t="n"/>
      <c r="I657" s="17" t="n"/>
    </row>
    <row r="658">
      <c r="G658" s="17" t="n"/>
      <c r="I658" s="17" t="n"/>
    </row>
    <row r="659">
      <c r="G659" s="17" t="n"/>
      <c r="I659" s="17" t="n"/>
    </row>
    <row r="660">
      <c r="G660" s="17" t="n"/>
      <c r="I660" s="17" t="n"/>
    </row>
    <row r="661">
      <c r="G661" s="17" t="n"/>
      <c r="I661" s="17" t="n"/>
    </row>
    <row r="662">
      <c r="G662" s="17" t="n"/>
      <c r="I662" s="17" t="n"/>
    </row>
    <row r="663">
      <c r="G663" s="17" t="n"/>
      <c r="I663" s="17" t="n"/>
    </row>
    <row r="664">
      <c r="G664" s="17" t="n"/>
      <c r="I664" s="17" t="n"/>
    </row>
    <row r="665">
      <c r="G665" s="17" t="n"/>
      <c r="I665" s="17" t="n"/>
    </row>
    <row r="666">
      <c r="G666" s="17" t="n"/>
      <c r="I666" s="17" t="n"/>
    </row>
    <row r="667">
      <c r="G667" s="17" t="n"/>
      <c r="I667" s="17" t="n"/>
    </row>
    <row r="668">
      <c r="G668" s="17" t="n"/>
      <c r="I668" s="17" t="n"/>
    </row>
    <row r="669">
      <c r="G669" s="17" t="n"/>
      <c r="I669" s="17" t="n"/>
    </row>
    <row r="670">
      <c r="G670" s="17" t="n"/>
      <c r="I670" s="17" t="n"/>
    </row>
    <row r="671">
      <c r="G671" s="17" t="n"/>
      <c r="I671" s="17" t="n"/>
    </row>
    <row r="672">
      <c r="G672" s="17" t="n"/>
      <c r="I672" s="17" t="n"/>
    </row>
    <row r="673">
      <c r="G673" s="17" t="n"/>
      <c r="I673" s="17" t="n"/>
    </row>
    <row r="674">
      <c r="G674" s="17" t="n"/>
      <c r="I674" s="17" t="n"/>
    </row>
    <row r="675">
      <c r="G675" s="17" t="n"/>
      <c r="I675" s="17" t="n"/>
    </row>
    <row r="676">
      <c r="G676" s="17" t="n"/>
      <c r="I676" s="17" t="n"/>
    </row>
    <row r="677">
      <c r="G677" s="17" t="n"/>
      <c r="I677" s="17" t="n"/>
    </row>
    <row r="678">
      <c r="G678" s="17" t="n"/>
      <c r="I678" s="17" t="n"/>
    </row>
    <row r="679">
      <c r="G679" s="17" t="n"/>
      <c r="I679" s="17" t="n"/>
    </row>
    <row r="680">
      <c r="G680" s="17" t="n"/>
      <c r="I680" s="17" t="n"/>
    </row>
    <row r="681">
      <c r="G681" s="17" t="n"/>
      <c r="I681" s="17" t="n"/>
    </row>
    <row r="682">
      <c r="G682" s="17" t="n"/>
      <c r="I682" s="17" t="n"/>
    </row>
    <row r="683">
      <c r="G683" s="17" t="n"/>
      <c r="I683" s="17" t="n"/>
    </row>
    <row r="684">
      <c r="G684" s="17" t="n"/>
      <c r="I684" s="17" t="n"/>
    </row>
    <row r="685">
      <c r="G685" s="17" t="n"/>
      <c r="I685" s="17" t="n"/>
    </row>
    <row r="686">
      <c r="G686" s="17" t="n"/>
      <c r="I686" s="17" t="n"/>
    </row>
    <row r="687">
      <c r="G687" s="17" t="n"/>
      <c r="I687" s="17" t="n"/>
    </row>
    <row r="688">
      <c r="G688" s="17" t="n"/>
      <c r="I688" s="17" t="n"/>
    </row>
    <row r="689">
      <c r="G689" s="17" t="n"/>
      <c r="I689" s="17" t="n"/>
    </row>
    <row r="690">
      <c r="G690" s="17" t="n"/>
      <c r="I690" s="17" t="n"/>
    </row>
    <row r="691">
      <c r="G691" s="17" t="n"/>
      <c r="I691" s="17" t="n"/>
    </row>
    <row r="692">
      <c r="G692" s="17" t="n"/>
      <c r="I692" s="17" t="n"/>
    </row>
    <row r="693">
      <c r="G693" s="17" t="n"/>
      <c r="I693" s="17" t="n"/>
    </row>
    <row r="694">
      <c r="G694" s="17" t="n"/>
      <c r="I694" s="17" t="n"/>
    </row>
    <row r="695">
      <c r="G695" s="17" t="n"/>
      <c r="I695" s="17" t="n"/>
    </row>
    <row r="696">
      <c r="G696" s="17" t="n"/>
      <c r="I696" s="17" t="n"/>
    </row>
    <row r="697">
      <c r="G697" s="17" t="n"/>
      <c r="I697" s="17" t="n"/>
    </row>
    <row r="698">
      <c r="G698" s="17" t="n"/>
      <c r="I698" s="17" t="n"/>
    </row>
    <row r="699">
      <c r="G699" s="17" t="n"/>
      <c r="I699" s="17" t="n"/>
    </row>
    <row r="700">
      <c r="G700" s="17" t="n"/>
      <c r="I700" s="17" t="n"/>
    </row>
    <row r="701">
      <c r="G701" s="17" t="n"/>
      <c r="I701" s="17" t="n"/>
    </row>
    <row r="702">
      <c r="G702" s="17" t="n"/>
      <c r="I702" s="17" t="n"/>
    </row>
    <row r="703">
      <c r="G703" s="17" t="n"/>
      <c r="I703" s="17" t="n"/>
    </row>
    <row r="704">
      <c r="G704" s="17" t="n"/>
      <c r="I704" s="17" t="n"/>
    </row>
    <row r="705">
      <c r="G705" s="17" t="n"/>
      <c r="I705" s="17" t="n"/>
    </row>
    <row r="706">
      <c r="G706" s="17" t="n"/>
      <c r="I706" s="17" t="n"/>
    </row>
    <row r="707">
      <c r="G707" s="17" t="n"/>
      <c r="I707" s="17" t="n"/>
    </row>
    <row r="708">
      <c r="G708" s="17" t="n"/>
      <c r="I708" s="17" t="n"/>
    </row>
    <row r="709">
      <c r="G709" s="17" t="n"/>
      <c r="I709" s="17" t="n"/>
    </row>
    <row r="710">
      <c r="G710" s="17" t="n"/>
      <c r="I710" s="17" t="n"/>
    </row>
    <row r="711">
      <c r="G711" s="17" t="n"/>
      <c r="I711" s="17" t="n"/>
    </row>
    <row r="712">
      <c r="G712" s="17" t="n"/>
      <c r="I712" s="17" t="n"/>
    </row>
    <row r="713">
      <c r="G713" s="17" t="n"/>
      <c r="I713" s="17" t="n"/>
    </row>
    <row r="714">
      <c r="G714" s="17" t="n"/>
      <c r="I714" s="17" t="n"/>
    </row>
    <row r="715">
      <c r="G715" s="17" t="n"/>
      <c r="I715" s="17" t="n"/>
    </row>
    <row r="716">
      <c r="G716" s="17" t="n"/>
      <c r="I716" s="17" t="n"/>
    </row>
    <row r="717">
      <c r="G717" s="17" t="n"/>
      <c r="I717" s="17" t="n"/>
    </row>
    <row r="718">
      <c r="G718" s="17" t="n"/>
      <c r="I718" s="17" t="n"/>
    </row>
    <row r="719">
      <c r="G719" s="17" t="n"/>
      <c r="I719" s="17" t="n"/>
    </row>
    <row r="720">
      <c r="G720" s="17" t="n"/>
      <c r="I720" s="17" t="n"/>
    </row>
    <row r="721">
      <c r="G721" s="17" t="n"/>
      <c r="I721" s="17" t="n"/>
    </row>
    <row r="722">
      <c r="G722" s="17" t="n"/>
      <c r="I722" s="17" t="n"/>
    </row>
    <row r="723">
      <c r="G723" s="17" t="n"/>
      <c r="I723" s="17" t="n"/>
    </row>
    <row r="724">
      <c r="G724" s="17" t="n"/>
      <c r="I724" s="17" t="n"/>
    </row>
    <row r="725">
      <c r="G725" s="17" t="n"/>
      <c r="I725" s="17" t="n"/>
    </row>
    <row r="726">
      <c r="G726" s="17" t="n"/>
      <c r="I726" s="17" t="n"/>
    </row>
    <row r="727">
      <c r="G727" s="17" t="n"/>
      <c r="I727" s="17" t="n"/>
    </row>
    <row r="728">
      <c r="G728" s="17" t="n"/>
      <c r="I728" s="17" t="n"/>
    </row>
    <row r="729">
      <c r="G729" s="17" t="n"/>
      <c r="I729" s="17" t="n"/>
    </row>
    <row r="730">
      <c r="G730" s="17" t="n"/>
      <c r="I730" s="17" t="n"/>
    </row>
    <row r="731">
      <c r="G731" s="17" t="n"/>
      <c r="I731" s="17" t="n"/>
    </row>
    <row r="732">
      <c r="G732" s="17" t="n"/>
      <c r="I732" s="17" t="n"/>
    </row>
    <row r="733">
      <c r="G733" s="17" t="n"/>
      <c r="I733" s="17" t="n"/>
    </row>
    <row r="734">
      <c r="G734" s="17" t="n"/>
      <c r="I734" s="17" t="n"/>
    </row>
    <row r="735">
      <c r="G735" s="17" t="n"/>
      <c r="I735" s="17" t="n"/>
    </row>
    <row r="736">
      <c r="G736" s="17" t="n"/>
      <c r="I736" s="17" t="n"/>
    </row>
    <row r="737">
      <c r="G737" s="17" t="n"/>
      <c r="I737" s="17" t="n"/>
    </row>
    <row r="738">
      <c r="G738" s="17" t="n"/>
      <c r="I738" s="17" t="n"/>
    </row>
    <row r="739">
      <c r="G739" s="17" t="n"/>
      <c r="I739" s="17" t="n"/>
    </row>
    <row r="740">
      <c r="G740" s="17" t="n"/>
      <c r="I740" s="17" t="n"/>
    </row>
    <row r="741">
      <c r="G741" s="17" t="n"/>
      <c r="I741" s="17" t="n"/>
    </row>
    <row r="742">
      <c r="G742" s="17" t="n"/>
      <c r="I742" s="17" t="n"/>
    </row>
    <row r="743">
      <c r="G743" s="17" t="n"/>
      <c r="I743" s="17" t="n"/>
    </row>
    <row r="744">
      <c r="G744" s="17" t="n"/>
      <c r="I744" s="17" t="n"/>
    </row>
    <row r="745">
      <c r="G745" s="17" t="n"/>
      <c r="I745" s="17" t="n"/>
    </row>
    <row r="746">
      <c r="G746" s="17" t="n"/>
      <c r="I746" s="17" t="n"/>
    </row>
    <row r="747">
      <c r="G747" s="17" t="n"/>
      <c r="I747" s="17" t="n"/>
    </row>
    <row r="748">
      <c r="G748" s="17" t="n"/>
      <c r="I748" s="17" t="n"/>
    </row>
    <row r="749">
      <c r="G749" s="17" t="n"/>
      <c r="I749" s="17" t="n"/>
    </row>
    <row r="750">
      <c r="G750" s="17" t="n"/>
      <c r="I750" s="17" t="n"/>
    </row>
    <row r="751">
      <c r="G751" s="17" t="n"/>
      <c r="I751" s="17" t="n"/>
    </row>
    <row r="752">
      <c r="G752" s="17" t="n"/>
      <c r="I752" s="17" t="n"/>
    </row>
    <row r="753">
      <c r="G753" s="17" t="n"/>
      <c r="I753" s="17" t="n"/>
    </row>
    <row r="754">
      <c r="G754" s="17" t="n"/>
      <c r="I754" s="17" t="n"/>
    </row>
    <row r="755">
      <c r="G755" s="17" t="n"/>
      <c r="I755" s="17" t="n"/>
    </row>
    <row r="756">
      <c r="G756" s="17" t="n"/>
      <c r="I756" s="17" t="n"/>
    </row>
    <row r="757">
      <c r="G757" s="17" t="n"/>
      <c r="I757" s="17" t="n"/>
    </row>
    <row r="758">
      <c r="G758" s="17" t="n"/>
      <c r="I758" s="17" t="n"/>
    </row>
    <row r="759">
      <c r="G759" s="17" t="n"/>
      <c r="I759" s="17" t="n"/>
    </row>
    <row r="760">
      <c r="G760" s="17" t="n"/>
      <c r="I760" s="17" t="n"/>
    </row>
    <row r="761">
      <c r="G761" s="17" t="n"/>
      <c r="I761" s="17" t="n"/>
    </row>
    <row r="762">
      <c r="G762" s="17" t="n"/>
      <c r="I762" s="17" t="n"/>
    </row>
    <row r="763">
      <c r="G763" s="17" t="n"/>
      <c r="I763" s="17" t="n"/>
    </row>
    <row r="764">
      <c r="G764" s="17" t="n"/>
      <c r="I764" s="17" t="n"/>
    </row>
    <row r="765">
      <c r="G765" s="17" t="n"/>
      <c r="I765" s="17" t="n"/>
    </row>
    <row r="766">
      <c r="G766" s="17" t="n"/>
      <c r="I766" s="17" t="n"/>
    </row>
    <row r="767">
      <c r="G767" s="17" t="n"/>
      <c r="I767" s="17" t="n"/>
    </row>
    <row r="768">
      <c r="G768" s="17" t="n"/>
      <c r="I768" s="17" t="n"/>
    </row>
    <row r="769">
      <c r="G769" s="17" t="n"/>
      <c r="I769" s="17" t="n"/>
    </row>
    <row r="770">
      <c r="G770" s="17" t="n"/>
      <c r="I770" s="17" t="n"/>
    </row>
    <row r="771">
      <c r="G771" s="17" t="n"/>
      <c r="I771" s="17" t="n"/>
    </row>
    <row r="772">
      <c r="G772" s="17" t="n"/>
      <c r="I772" s="17" t="n"/>
    </row>
    <row r="773">
      <c r="G773" s="17" t="n"/>
      <c r="I773" s="17" t="n"/>
    </row>
    <row r="774">
      <c r="G774" s="17" t="n"/>
      <c r="I774" s="17" t="n"/>
    </row>
    <row r="775">
      <c r="G775" s="17" t="n"/>
      <c r="I775" s="17" t="n"/>
    </row>
    <row r="776">
      <c r="G776" s="17" t="n"/>
      <c r="I776" s="17" t="n"/>
    </row>
    <row r="777">
      <c r="G777" s="17" t="n"/>
      <c r="I777" s="17" t="n"/>
    </row>
    <row r="778">
      <c r="G778" s="17" t="n"/>
      <c r="I778" s="17" t="n"/>
    </row>
    <row r="779">
      <c r="G779" s="17" t="n"/>
      <c r="I779" s="17" t="n"/>
    </row>
    <row r="780">
      <c r="G780" s="17" t="n"/>
      <c r="I780" s="17" t="n"/>
    </row>
    <row r="781">
      <c r="G781" s="17" t="n"/>
      <c r="I781" s="17" t="n"/>
    </row>
    <row r="782">
      <c r="G782" s="17" t="n"/>
      <c r="I782" s="17" t="n"/>
    </row>
    <row r="783">
      <c r="G783" s="17" t="n"/>
      <c r="I783" s="17" t="n"/>
    </row>
    <row r="784">
      <c r="G784" s="17" t="n"/>
      <c r="I784" s="17" t="n"/>
    </row>
    <row r="785">
      <c r="G785" s="17" t="n"/>
      <c r="I785" s="17" t="n"/>
    </row>
    <row r="786">
      <c r="G786" s="17" t="n"/>
      <c r="I786" s="17" t="n"/>
    </row>
    <row r="787">
      <c r="G787" s="17" t="n"/>
      <c r="I787" s="17" t="n"/>
    </row>
    <row r="788">
      <c r="G788" s="17" t="n"/>
      <c r="I788" s="17" t="n"/>
    </row>
    <row r="789">
      <c r="G789" s="17" t="n"/>
      <c r="I789" s="17" t="n"/>
    </row>
    <row r="790">
      <c r="G790" s="17" t="n"/>
      <c r="I790" s="17" t="n"/>
    </row>
    <row r="791">
      <c r="G791" s="17" t="n"/>
      <c r="I791" s="17" t="n"/>
    </row>
    <row r="792">
      <c r="G792" s="17" t="n"/>
      <c r="I792" s="17" t="n"/>
    </row>
    <row r="793">
      <c r="G793" s="17" t="n"/>
      <c r="I793" s="17" t="n"/>
    </row>
    <row r="794">
      <c r="G794" s="17" t="n"/>
      <c r="I794" s="17" t="n"/>
    </row>
    <row r="795">
      <c r="G795" s="17" t="n"/>
      <c r="I795" s="17" t="n"/>
    </row>
    <row r="796">
      <c r="G796" s="17" t="n"/>
      <c r="I796" s="17" t="n"/>
    </row>
    <row r="797">
      <c r="G797" s="17" t="n"/>
      <c r="I797" s="17" t="n"/>
    </row>
    <row r="798">
      <c r="G798" s="17" t="n"/>
      <c r="I798" s="17" t="n"/>
    </row>
    <row r="799">
      <c r="G799" s="17" t="n"/>
      <c r="I799" s="17" t="n"/>
    </row>
    <row r="800">
      <c r="G800" s="17" t="n"/>
      <c r="I800" s="17" t="n"/>
    </row>
    <row r="801">
      <c r="G801" s="17" t="n"/>
      <c r="I801" s="17" t="n"/>
    </row>
    <row r="802">
      <c r="G802" s="17" t="n"/>
      <c r="I802" s="17" t="n"/>
    </row>
    <row r="803">
      <c r="G803" s="17" t="n"/>
      <c r="I803" s="17" t="n"/>
    </row>
    <row r="804">
      <c r="G804" s="17" t="n"/>
      <c r="I804" s="17" t="n"/>
    </row>
    <row r="805">
      <c r="G805" s="17" t="n"/>
      <c r="I805" s="17" t="n"/>
    </row>
    <row r="806">
      <c r="G806" s="17" t="n"/>
      <c r="I806" s="17" t="n"/>
    </row>
    <row r="807">
      <c r="G807" s="17" t="n"/>
      <c r="I807" s="17" t="n"/>
    </row>
    <row r="808">
      <c r="G808" s="17" t="n"/>
      <c r="I808" s="17" t="n"/>
    </row>
    <row r="809">
      <c r="G809" s="17" t="n"/>
      <c r="I809" s="17" t="n"/>
    </row>
    <row r="810">
      <c r="G810" s="17" t="n"/>
      <c r="I810" s="17" t="n"/>
    </row>
    <row r="811">
      <c r="G811" s="17" t="n"/>
      <c r="I811" s="17" t="n"/>
    </row>
    <row r="812">
      <c r="G812" s="17" t="n"/>
      <c r="I812" s="17" t="n"/>
    </row>
    <row r="813">
      <c r="G813" s="17" t="n"/>
      <c r="I813" s="17" t="n"/>
    </row>
    <row r="814">
      <c r="G814" s="17" t="n"/>
      <c r="I814" s="17" t="n"/>
    </row>
    <row r="815">
      <c r="G815" s="17" t="n"/>
      <c r="I815" s="17" t="n"/>
    </row>
    <row r="816">
      <c r="G816" s="17" t="n"/>
      <c r="I816" s="17" t="n"/>
    </row>
    <row r="817">
      <c r="G817" s="17" t="n"/>
      <c r="I817" s="17" t="n"/>
    </row>
    <row r="818">
      <c r="G818" s="17" t="n"/>
      <c r="I818" s="17" t="n"/>
    </row>
    <row r="819">
      <c r="G819" s="17" t="n"/>
      <c r="I819" s="17" t="n"/>
    </row>
    <row r="820">
      <c r="G820" s="17" t="n"/>
      <c r="I820" s="17" t="n"/>
    </row>
    <row r="821">
      <c r="G821" s="17" t="n"/>
      <c r="I821" s="17" t="n"/>
    </row>
    <row r="822">
      <c r="G822" s="17" t="n"/>
      <c r="I822" s="17" t="n"/>
    </row>
    <row r="823">
      <c r="G823" s="17" t="n"/>
      <c r="I823" s="17" t="n"/>
    </row>
    <row r="824">
      <c r="G824" s="17" t="n"/>
      <c r="I824" s="17" t="n"/>
    </row>
    <row r="825">
      <c r="G825" s="17" t="n"/>
      <c r="I825" s="17" t="n"/>
    </row>
    <row r="826">
      <c r="G826" s="17" t="n"/>
      <c r="I826" s="17" t="n"/>
    </row>
    <row r="827">
      <c r="G827" s="17" t="n"/>
      <c r="I827" s="17" t="n"/>
    </row>
    <row r="828">
      <c r="G828" s="17" t="n"/>
      <c r="I828" s="17" t="n"/>
    </row>
    <row r="829">
      <c r="G829" s="17" t="n"/>
      <c r="I829" s="17" t="n"/>
    </row>
    <row r="830">
      <c r="G830" s="17" t="n"/>
      <c r="I830" s="17" t="n"/>
    </row>
    <row r="831">
      <c r="G831" s="17" t="n"/>
      <c r="I831" s="17" t="n"/>
    </row>
    <row r="832">
      <c r="G832" s="17" t="n"/>
      <c r="I832" s="17" t="n"/>
    </row>
    <row r="833">
      <c r="G833" s="17" t="n"/>
      <c r="I833" s="17" t="n"/>
    </row>
    <row r="834">
      <c r="G834" s="17" t="n"/>
      <c r="I834" s="17" t="n"/>
    </row>
    <row r="835">
      <c r="G835" s="17" t="n"/>
      <c r="I835" s="17" t="n"/>
    </row>
    <row r="836">
      <c r="G836" s="17" t="n"/>
      <c r="I836" s="17" t="n"/>
    </row>
    <row r="837">
      <c r="G837" s="17" t="n"/>
      <c r="I837" s="17" t="n"/>
    </row>
    <row r="838">
      <c r="G838" s="17" t="n"/>
      <c r="I838" s="17" t="n"/>
    </row>
    <row r="839">
      <c r="G839" s="17" t="n"/>
      <c r="I839" s="17" t="n"/>
    </row>
    <row r="840">
      <c r="G840" s="17" t="n"/>
      <c r="I840" s="17" t="n"/>
    </row>
    <row r="841">
      <c r="G841" s="17" t="n"/>
      <c r="I841" s="17" t="n"/>
    </row>
    <row r="842">
      <c r="G842" s="17" t="n"/>
      <c r="I842" s="17" t="n"/>
    </row>
    <row r="843">
      <c r="G843" s="17" t="n"/>
      <c r="I843" s="17" t="n"/>
    </row>
    <row r="844">
      <c r="G844" s="17" t="n"/>
      <c r="I844" s="17" t="n"/>
    </row>
    <row r="845">
      <c r="G845" s="17" t="n"/>
      <c r="I845" s="17" t="n"/>
    </row>
    <row r="846">
      <c r="G846" s="17" t="n"/>
      <c r="I846" s="17" t="n"/>
    </row>
    <row r="847">
      <c r="G847" s="17" t="n"/>
      <c r="I847" s="17" t="n"/>
    </row>
    <row r="848">
      <c r="G848" s="17" t="n"/>
      <c r="I848" s="17" t="n"/>
    </row>
    <row r="849">
      <c r="G849" s="17" t="n"/>
      <c r="I849" s="17" t="n"/>
    </row>
    <row r="850">
      <c r="G850" s="17" t="n"/>
      <c r="I850" s="17" t="n"/>
    </row>
    <row r="851">
      <c r="G851" s="17" t="n"/>
      <c r="I851" s="17" t="n"/>
    </row>
    <row r="852">
      <c r="G852" s="17" t="n"/>
      <c r="I852" s="17" t="n"/>
    </row>
    <row r="853">
      <c r="G853" s="17" t="n"/>
      <c r="I853" s="17" t="n"/>
    </row>
    <row r="854">
      <c r="G854" s="17" t="n"/>
      <c r="I854" s="17" t="n"/>
    </row>
    <row r="855">
      <c r="G855" s="17" t="n"/>
      <c r="I855" s="17" t="n"/>
    </row>
    <row r="856">
      <c r="G856" s="17" t="n"/>
      <c r="I856" s="17" t="n"/>
    </row>
    <row r="857">
      <c r="G857" s="17" t="n"/>
      <c r="I857" s="17" t="n"/>
    </row>
    <row r="858">
      <c r="G858" s="17" t="n"/>
      <c r="I858" s="17" t="n"/>
    </row>
    <row r="859">
      <c r="G859" s="17" t="n"/>
      <c r="I859" s="17" t="n"/>
    </row>
    <row r="860">
      <c r="G860" s="17" t="n"/>
      <c r="I860" s="17" t="n"/>
    </row>
    <row r="861">
      <c r="G861" s="17" t="n"/>
      <c r="I861" s="17" t="n"/>
    </row>
    <row r="862">
      <c r="G862" s="17" t="n"/>
      <c r="I862" s="17" t="n"/>
    </row>
    <row r="863">
      <c r="G863" s="17" t="n"/>
      <c r="I863" s="17" t="n"/>
    </row>
    <row r="864">
      <c r="G864" s="17" t="n"/>
      <c r="I864" s="17" t="n"/>
    </row>
    <row r="865">
      <c r="G865" s="17" t="n"/>
      <c r="I865" s="17" t="n"/>
    </row>
    <row r="866">
      <c r="G866" s="17" t="n"/>
      <c r="I866" s="17" t="n"/>
    </row>
    <row r="867">
      <c r="G867" s="17" t="n"/>
      <c r="I867" s="17" t="n"/>
    </row>
    <row r="868">
      <c r="G868" s="17" t="n"/>
      <c r="I868" s="17" t="n"/>
    </row>
    <row r="869">
      <c r="G869" s="17" t="n"/>
      <c r="I869" s="17" t="n"/>
    </row>
    <row r="870">
      <c r="G870" s="17" t="n"/>
      <c r="I870" s="17" t="n"/>
    </row>
    <row r="871">
      <c r="G871" s="17" t="n"/>
      <c r="I871" s="17" t="n"/>
    </row>
    <row r="872">
      <c r="G872" s="17" t="n"/>
      <c r="I872" s="17" t="n"/>
    </row>
    <row r="873">
      <c r="G873" s="17" t="n"/>
      <c r="I873" s="17" t="n"/>
    </row>
    <row r="874">
      <c r="G874" s="17" t="n"/>
      <c r="I874" s="17" t="n"/>
    </row>
    <row r="875">
      <c r="G875" s="17" t="n"/>
      <c r="I875" s="17" t="n"/>
    </row>
    <row r="876">
      <c r="G876" s="17" t="n"/>
      <c r="I876" s="17" t="n"/>
    </row>
    <row r="877">
      <c r="G877" s="17" t="n"/>
      <c r="I877" s="17" t="n"/>
    </row>
    <row r="878">
      <c r="G878" s="17" t="n"/>
      <c r="I878" s="17" t="n"/>
    </row>
    <row r="879">
      <c r="G879" s="17" t="n"/>
      <c r="I879" s="17" t="n"/>
    </row>
    <row r="880">
      <c r="G880" s="17" t="n"/>
      <c r="I880" s="17" t="n"/>
    </row>
    <row r="881">
      <c r="G881" s="17" t="n"/>
      <c r="I881" s="17" t="n"/>
    </row>
    <row r="882">
      <c r="G882" s="17" t="n"/>
      <c r="I882" s="17" t="n"/>
    </row>
    <row r="883">
      <c r="G883" s="17" t="n"/>
      <c r="I883" s="17" t="n"/>
    </row>
    <row r="884">
      <c r="G884" s="17" t="n"/>
      <c r="I884" s="17" t="n"/>
    </row>
    <row r="885">
      <c r="G885" s="17" t="n"/>
      <c r="I885" s="17" t="n"/>
    </row>
    <row r="886">
      <c r="G886" s="17" t="n"/>
      <c r="I886" s="17" t="n"/>
    </row>
    <row r="887">
      <c r="G887" s="17" t="n"/>
      <c r="I887" s="17" t="n"/>
    </row>
    <row r="888">
      <c r="G888" s="17" t="n"/>
      <c r="I888" s="17" t="n"/>
    </row>
    <row r="889">
      <c r="G889" s="17" t="n"/>
      <c r="I889" s="17" t="n"/>
    </row>
    <row r="890">
      <c r="G890" s="17" t="n"/>
      <c r="I890" s="17" t="n"/>
    </row>
    <row r="891">
      <c r="G891" s="17" t="n"/>
      <c r="I891" s="17" t="n"/>
    </row>
    <row r="892">
      <c r="G892" s="17" t="n"/>
      <c r="I892" s="17" t="n"/>
    </row>
    <row r="893">
      <c r="G893" s="17" t="n"/>
      <c r="I893" s="17" t="n"/>
    </row>
    <row r="894">
      <c r="G894" s="17" t="n"/>
      <c r="I894" s="17" t="n"/>
    </row>
    <row r="895">
      <c r="G895" s="17" t="n"/>
      <c r="I895" s="17" t="n"/>
    </row>
    <row r="896">
      <c r="G896" s="17" t="n"/>
      <c r="I896" s="17" t="n"/>
    </row>
    <row r="897">
      <c r="G897" s="17" t="n"/>
      <c r="I897" s="17" t="n"/>
    </row>
    <row r="898">
      <c r="G898" s="17" t="n"/>
      <c r="I898" s="17" t="n"/>
    </row>
    <row r="899">
      <c r="G899" s="17" t="n"/>
      <c r="I899" s="17" t="n"/>
    </row>
    <row r="900">
      <c r="G900" s="17" t="n"/>
      <c r="I900" s="17" t="n"/>
    </row>
    <row r="901">
      <c r="G901" s="17" t="n"/>
      <c r="I901" s="17" t="n"/>
    </row>
    <row r="902">
      <c r="G902" s="17" t="n"/>
      <c r="I902" s="17" t="n"/>
    </row>
    <row r="903">
      <c r="G903" s="17" t="n"/>
      <c r="I903" s="17" t="n"/>
    </row>
    <row r="904">
      <c r="G904" s="17" t="n"/>
      <c r="I904" s="17" t="n"/>
    </row>
    <row r="905">
      <c r="G905" s="17" t="n"/>
      <c r="I905" s="17" t="n"/>
    </row>
    <row r="906">
      <c r="G906" s="17" t="n"/>
      <c r="I906" s="17" t="n"/>
    </row>
    <row r="907">
      <c r="G907" s="17" t="n"/>
      <c r="I907" s="17" t="n"/>
    </row>
    <row r="908">
      <c r="G908" s="17" t="n"/>
      <c r="I908" s="17" t="n"/>
    </row>
    <row r="909">
      <c r="G909" s="17" t="n"/>
      <c r="I909" s="17" t="n"/>
    </row>
    <row r="910">
      <c r="G910" s="17" t="n"/>
      <c r="I910" s="17" t="n"/>
    </row>
    <row r="911">
      <c r="G911" s="17" t="n"/>
      <c r="I911" s="17" t="n"/>
    </row>
    <row r="912">
      <c r="G912" s="17" t="n"/>
      <c r="I912" s="17" t="n"/>
    </row>
    <row r="913">
      <c r="G913" s="17" t="n"/>
      <c r="I913" s="17" t="n"/>
    </row>
    <row r="914">
      <c r="G914" s="17" t="n"/>
      <c r="I914" s="17" t="n"/>
    </row>
    <row r="915">
      <c r="G915" s="17" t="n"/>
      <c r="I915" s="17" t="n"/>
    </row>
    <row r="916">
      <c r="G916" s="17" t="n"/>
      <c r="I916" s="17" t="n"/>
    </row>
    <row r="917">
      <c r="G917" s="17" t="n"/>
      <c r="I917" s="17" t="n"/>
    </row>
    <row r="918">
      <c r="G918" s="17" t="n"/>
      <c r="I918" s="17" t="n"/>
    </row>
    <row r="919">
      <c r="G919" s="17" t="n"/>
      <c r="I919" s="17" t="n"/>
    </row>
    <row r="920">
      <c r="G920" s="17" t="n"/>
      <c r="I920" s="17" t="n"/>
    </row>
    <row r="921">
      <c r="G921" s="17" t="n"/>
      <c r="I921" s="17" t="n"/>
    </row>
    <row r="922">
      <c r="G922" s="17" t="n"/>
      <c r="I922" s="17" t="n"/>
    </row>
    <row r="923">
      <c r="G923" s="17" t="n"/>
      <c r="I923" s="17" t="n"/>
    </row>
    <row r="924">
      <c r="G924" s="17" t="n"/>
      <c r="I924" s="17" t="n"/>
    </row>
    <row r="925">
      <c r="G925" s="17" t="n"/>
      <c r="I925" s="17" t="n"/>
    </row>
    <row r="926">
      <c r="G926" s="17" t="n"/>
      <c r="I926" s="17" t="n"/>
    </row>
    <row r="927">
      <c r="G927" s="17" t="n"/>
      <c r="I927" s="17" t="n"/>
    </row>
    <row r="928">
      <c r="G928" s="17" t="n"/>
      <c r="I928" s="17" t="n"/>
    </row>
    <row r="929">
      <c r="G929" s="17" t="n"/>
      <c r="I929" s="17" t="n"/>
    </row>
    <row r="930">
      <c r="G930" s="17" t="n"/>
      <c r="I930" s="17" t="n"/>
    </row>
    <row r="931">
      <c r="G931" s="17" t="n"/>
      <c r="I931" s="17" t="n"/>
    </row>
    <row r="932">
      <c r="G932" s="17" t="n"/>
      <c r="I932" s="17" t="n"/>
    </row>
    <row r="933">
      <c r="G933" s="17" t="n"/>
      <c r="I933" s="17" t="n"/>
    </row>
    <row r="934">
      <c r="G934" s="17" t="n"/>
      <c r="I934" s="17" t="n"/>
    </row>
    <row r="935">
      <c r="G935" s="17" t="n"/>
      <c r="I935" s="17" t="n"/>
    </row>
    <row r="936">
      <c r="G936" s="17" t="n"/>
      <c r="I936" s="17" t="n"/>
    </row>
    <row r="937">
      <c r="G937" s="17" t="n"/>
      <c r="I937" s="17" t="n"/>
    </row>
    <row r="938">
      <c r="G938" s="17" t="n"/>
      <c r="I938" s="17" t="n"/>
    </row>
    <row r="939">
      <c r="G939" s="17" t="n"/>
      <c r="I939" s="17" t="n"/>
    </row>
    <row r="940">
      <c r="G940" s="17" t="n"/>
      <c r="I940" s="17" t="n"/>
    </row>
    <row r="941">
      <c r="G941" s="17" t="n"/>
      <c r="I941" s="17" t="n"/>
    </row>
    <row r="942">
      <c r="G942" s="17" t="n"/>
      <c r="I942" s="17" t="n"/>
    </row>
    <row r="943">
      <c r="G943" s="17" t="n"/>
      <c r="I943" s="17" t="n"/>
    </row>
    <row r="944">
      <c r="G944" s="17" t="n"/>
      <c r="I944" s="17" t="n"/>
    </row>
    <row r="945">
      <c r="G945" s="17" t="n"/>
      <c r="I945" s="17" t="n"/>
    </row>
    <row r="946">
      <c r="G946" s="17" t="n"/>
      <c r="I946" s="17" t="n"/>
    </row>
    <row r="947">
      <c r="G947" s="17" t="n"/>
      <c r="I947" s="17" t="n"/>
    </row>
    <row r="948">
      <c r="G948" s="17" t="n"/>
      <c r="I948" s="17" t="n"/>
    </row>
    <row r="949">
      <c r="G949" s="17" t="n"/>
      <c r="I949" s="17" t="n"/>
    </row>
    <row r="950">
      <c r="G950" s="17" t="n"/>
      <c r="I950" s="17" t="n"/>
    </row>
    <row r="951">
      <c r="G951" s="17" t="n"/>
      <c r="I951" s="17" t="n"/>
    </row>
    <row r="952">
      <c r="G952" s="17" t="n"/>
      <c r="I952" s="17" t="n"/>
    </row>
    <row r="953">
      <c r="G953" s="17" t="n"/>
      <c r="I953" s="17" t="n"/>
    </row>
    <row r="954">
      <c r="G954" s="17" t="n"/>
      <c r="I954" s="17" t="n"/>
    </row>
    <row r="955">
      <c r="G955" s="17" t="n"/>
      <c r="I955" s="17" t="n"/>
    </row>
    <row r="956">
      <c r="G956" s="17" t="n"/>
      <c r="I956" s="17" t="n"/>
    </row>
    <row r="957">
      <c r="G957" s="17" t="n"/>
      <c r="I957" s="17" t="n"/>
    </row>
    <row r="958">
      <c r="G958" s="17" t="n"/>
      <c r="I958" s="17" t="n"/>
    </row>
    <row r="959">
      <c r="G959" s="17" t="n"/>
      <c r="I959" s="17" t="n"/>
    </row>
    <row r="960">
      <c r="G960" s="17" t="n"/>
      <c r="I960" s="17" t="n"/>
    </row>
    <row r="961">
      <c r="G961" s="17" t="n"/>
      <c r="I961" s="17" t="n"/>
    </row>
    <row r="962">
      <c r="G962" s="17" t="n"/>
      <c r="I962" s="17" t="n"/>
    </row>
    <row r="963">
      <c r="G963" s="17" t="n"/>
      <c r="I963" s="17" t="n"/>
    </row>
    <row r="964">
      <c r="G964" s="17" t="n"/>
      <c r="I964" s="17" t="n"/>
    </row>
    <row r="965">
      <c r="G965" s="17" t="n"/>
      <c r="I965" s="17" t="n"/>
    </row>
    <row r="966">
      <c r="G966" s="17" t="n"/>
      <c r="I966" s="17" t="n"/>
    </row>
    <row r="967">
      <c r="G967" s="17" t="n"/>
      <c r="I967" s="17" t="n"/>
    </row>
    <row r="968">
      <c r="G968" s="17" t="n"/>
      <c r="I968" s="17" t="n"/>
    </row>
    <row r="969">
      <c r="G969" s="17" t="n"/>
      <c r="I969" s="17" t="n"/>
    </row>
    <row r="970">
      <c r="G970" s="17" t="n"/>
      <c r="I970" s="17" t="n"/>
    </row>
    <row r="971">
      <c r="G971" s="17" t="n"/>
      <c r="I971" s="17" t="n"/>
    </row>
    <row r="972">
      <c r="G972" s="17" t="n"/>
      <c r="I972" s="17" t="n"/>
    </row>
    <row r="973">
      <c r="G973" s="17" t="n"/>
      <c r="I973" s="17" t="n"/>
    </row>
    <row r="974">
      <c r="G974" s="17" t="n"/>
      <c r="I974" s="17" t="n"/>
    </row>
    <row r="975">
      <c r="G975" s="17" t="n"/>
      <c r="I975" s="17" t="n"/>
    </row>
    <row r="976">
      <c r="G976" s="17" t="n"/>
      <c r="I976" s="17" t="n"/>
    </row>
    <row r="977">
      <c r="G977" s="17" t="n"/>
      <c r="I977" s="17" t="n"/>
    </row>
    <row r="978">
      <c r="G978" s="17" t="n"/>
      <c r="I978" s="17" t="n"/>
    </row>
    <row r="979">
      <c r="G979" s="17" t="n"/>
      <c r="I979" s="17" t="n"/>
    </row>
    <row r="980">
      <c r="G980" s="17" t="n"/>
      <c r="I980" s="17" t="n"/>
    </row>
    <row r="981">
      <c r="G981" s="17" t="n"/>
      <c r="I981" s="17" t="n"/>
    </row>
    <row r="982">
      <c r="G982" s="17" t="n"/>
      <c r="I982" s="17" t="n"/>
    </row>
    <row r="983">
      <c r="G983" s="17" t="n"/>
      <c r="I983" s="17" t="n"/>
    </row>
    <row r="984">
      <c r="G984" s="17" t="n"/>
      <c r="I984" s="17" t="n"/>
    </row>
    <row r="985">
      <c r="G985" s="17" t="n"/>
      <c r="I985" s="17" t="n"/>
    </row>
    <row r="986">
      <c r="G986" s="17" t="n"/>
      <c r="I986" s="17" t="n"/>
    </row>
    <row r="987">
      <c r="G987" s="17" t="n"/>
      <c r="I987" s="17" t="n"/>
    </row>
    <row r="988">
      <c r="G988" s="17" t="n"/>
      <c r="I988" s="17" t="n"/>
    </row>
    <row r="989">
      <c r="G989" s="17" t="n"/>
      <c r="I989" s="17" t="n"/>
    </row>
    <row r="990">
      <c r="G990" s="17" t="n"/>
      <c r="I990" s="17" t="n"/>
    </row>
    <row r="991">
      <c r="G991" s="17" t="n"/>
      <c r="I991" s="17" t="n"/>
    </row>
    <row r="992">
      <c r="G992" s="17" t="n"/>
      <c r="I992" s="17" t="n"/>
    </row>
    <row r="993">
      <c r="G993" s="17" t="n"/>
      <c r="I993" s="17" t="n"/>
    </row>
    <row r="994">
      <c r="G994" s="17" t="n"/>
      <c r="I994" s="17" t="n"/>
    </row>
    <row r="995">
      <c r="G995" s="17" t="n"/>
      <c r="I995" s="17" t="n"/>
    </row>
    <row r="996">
      <c r="G996" s="17" t="n"/>
      <c r="I996" s="17" t="n"/>
    </row>
    <row r="997">
      <c r="G997" s="17" t="n"/>
      <c r="I997" s="17" t="n"/>
    </row>
    <row r="998">
      <c r="G998" s="17" t="n"/>
      <c r="I998" s="17" t="n"/>
    </row>
    <row r="999">
      <c r="G999" s="17" t="n"/>
      <c r="I999" s="17" t="n"/>
    </row>
  </sheetData>
  <dataValidations count="8">
    <dataValidation sqref="AH2:AJ54" showDropDown="0" showInputMessage="0" showErrorMessage="0" allowBlank="1" type="list">
      <formula1>",A+++,A++,A+,A,A,B,C,D,E,F,G"</formula1>
    </dataValidation>
    <dataValidation sqref="AC2:AC54" showDropDown="0" showInputMessage="0" showErrorMessage="0" allowBlank="1" type="list">
      <formula1>",newborn,infant,toddler,children,adult"</formula1>
    </dataValidation>
    <dataValidation sqref="X2:X54" showDropDown="0" showInputMessage="0" showErrorMessage="0" allowBlank="1" type="list">
      <formula1>",regular,petite,plus,tall,big,maternity"</formula1>
    </dataValidation>
    <dataValidation sqref="Z2:Z54" showDropDown="0" showInputMessage="0" showErrorMessage="0" allowBlank="1" type="list">
      <formula1>",female,male,unisex"</formula1>
    </dataValidation>
    <dataValidation sqref="U2:U206" showDropDown="0" showInputMessage="0" showErrorMessage="0" allowBlank="1" type="list">
      <formula1>",yes,no"</formula1>
    </dataValidation>
    <dataValidation sqref="D2:D206" showDropDown="0" showInputMessage="0" showErrorMessage="1" allowBlank="1" type="list">
      <formula1>"in_stock,out_of_stock,preorder,backorder"</formula1>
    </dataValidation>
    <dataValidation sqref="T2:T206" showDropDown="0" showInputMessage="0" showErrorMessage="0" allowBlank="1" type="list">
      <formula1>",new,refurbished,used"</formula1>
    </dataValidation>
    <dataValidation sqref="M2:M206" showDropDown="0" showInputMessage="0" showErrorMessage="1" allowBlank="1" type="list">
      <formula1>",yes,no"</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2025-12-26T10:52:52Z</dcterms:created>
  <dcterms:modified xmlns:dcterms="http://purl.org/dc/terms/" xmlns:xsi="http://www.w3.org/2001/XMLSchema-instance" xsi:type="dcterms:W3CDTF">2025-12-26T10:52:53Z</dcterms:modified>
</cp:coreProperties>
</file>